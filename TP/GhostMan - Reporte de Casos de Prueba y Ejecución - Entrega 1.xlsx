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5.xml.rels" ContentType="application/vnd.openxmlformats-package.relationship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0.xml.rels" ContentType="application/vnd.openxmlformats-package.relationships+xml"/>
  <Override PartName="/xl/worksheets/_rels/sheet67.xml.rels" ContentType="application/vnd.openxmlformats-package.relationships+xml"/>
  <Override PartName="/xl/worksheets/_rels/sheet31.xml.rels" ContentType="application/vnd.openxmlformats-package.relationships+xml"/>
  <Override PartName="/xl/worksheets/_rels/sheet68.xml.rels" ContentType="application/vnd.openxmlformats-package.relationships+xml"/>
  <Override PartName="/xl/worksheets/_rels/sheet3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16.xml.rels" ContentType="application/vnd.openxmlformats-package.relationships+xml"/>
  <Override PartName="/xl/worksheets/_rels/sheet53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50.xml.rels" ContentType="application/vnd.openxmlformats-package.relationships+xml"/>
  <Override PartName="/xl/worksheets/_rels/sheet52.xml.rels" ContentType="application/vnd.openxmlformats-package.relationships+xml"/>
  <Override PartName="/xl/worksheets/_rels/sheet15.xml.rels" ContentType="application/vnd.openxmlformats-package.relationships+xml"/>
  <Override PartName="/xl/worksheets/_rels/sheet46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1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8.xml.rels" ContentType="application/vnd.openxmlformats-package.relationships+xml"/>
  <Override PartName="/xl/worksheets/_rels/sheet25.xml.rels" ContentType="application/vnd.openxmlformats-package.relationships+xml"/>
  <Override PartName="/xl/worksheets/_rels/sheet62.xml.rels" ContentType="application/vnd.openxmlformats-package.relationships+xml"/>
  <Override PartName="/xl/worksheets/_rels/sheet5.xml.rels" ContentType="application/vnd.openxmlformats-package.relationships+xml"/>
  <Override PartName="/xl/worksheets/_rels/sheet27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2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2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_rels/sheet36.xml.rels" ContentType="application/vnd.openxmlformats-package.relationships+xml"/>
  <Override PartName="/xl/worksheets/_rels/sheet37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4.xml" ContentType="application/vnd.openxmlformats-officedocument.spreadsheetml.worksheet+xml"/>
  <Override PartName="/xl/worksheets/sheet63.xml" ContentType="application/vnd.openxmlformats-officedocument.spreadsheetml.worksheet+xml"/>
  <Override PartName="/xl/worksheets/sheet3.xml" ContentType="application/vnd.openxmlformats-officedocument.spreadsheetml.worksheet+xml"/>
  <Override PartName="/xl/worksheets/sheet6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66.xml" ContentType="application/vnd.openxmlformats-officedocument.spreadsheetml.worksheet+xml"/>
  <Override PartName="/xl/worksheets/sheet29.xml" ContentType="application/vnd.openxmlformats-officedocument.spreadsheetml.worksheet+xml"/>
  <Override PartName="/xl/worksheets/sheet26.xml" ContentType="application/vnd.openxmlformats-officedocument.spreadsheetml.worksheet+xml"/>
  <Override PartName="/xl/worksheets/sheet65.xml" ContentType="application/vnd.openxmlformats-officedocument.spreadsheetml.worksheet+xml"/>
  <Override PartName="/xl/worksheets/sheet25.xml" ContentType="application/vnd.openxmlformats-officedocument.spreadsheetml.worksheet+xml"/>
  <Override PartName="/xl/worksheets/sheet59.xml" ContentType="application/vnd.openxmlformats-officedocument.spreadsheetml.worksheet+xml"/>
  <Override PartName="/xl/worksheets/sheet7.xml" ContentType="application/vnd.openxmlformats-officedocument.spreadsheetml.worksheet+xml"/>
  <Override PartName="/xl/worksheets/sheet22.xml" ContentType="application/vnd.openxmlformats-officedocument.spreadsheetml.worksheet+xml"/>
  <Override PartName="/xl/worksheets/sheet58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 de ejecución - Entrega1" sheetId="1" state="visible" r:id="rId3"/>
    <sheet name="Registro de defectos" sheetId="2" state="visible" r:id="rId4"/>
    <sheet name="CP-001" sheetId="3" state="visible" r:id="rId5"/>
    <sheet name="CP-002" sheetId="4" state="visible" r:id="rId6"/>
    <sheet name="CP-003" sheetId="5" state="visible" r:id="rId7"/>
    <sheet name="CP-004" sheetId="6" state="visible" r:id="rId8"/>
    <sheet name="CP-005" sheetId="7" state="visible" r:id="rId9"/>
    <sheet name="CP-006" sheetId="8" state="visible" r:id="rId10"/>
    <sheet name="CP-007" sheetId="9" state="visible" r:id="rId11"/>
    <sheet name="CP-008" sheetId="10" state="visible" r:id="rId12"/>
    <sheet name="CP-009" sheetId="11" state="visible" r:id="rId13"/>
    <sheet name="CP-010" sheetId="12" state="visible" r:id="rId14"/>
    <sheet name="CP-011" sheetId="13" state="visible" r:id="rId15"/>
    <sheet name="CP-012" sheetId="14" state="visible" r:id="rId16"/>
    <sheet name="CP-013" sheetId="15" state="visible" r:id="rId17"/>
    <sheet name="CP-014" sheetId="16" state="visible" r:id="rId18"/>
    <sheet name="CP-015" sheetId="17" state="visible" r:id="rId19"/>
    <sheet name="CP-016" sheetId="18" state="visible" r:id="rId20"/>
    <sheet name="CP-017" sheetId="19" state="visible" r:id="rId21"/>
    <sheet name="CP-018" sheetId="20" state="visible" r:id="rId22"/>
    <sheet name="CP-019" sheetId="21" state="visible" r:id="rId23"/>
    <sheet name="CP-020" sheetId="22" state="visible" r:id="rId24"/>
    <sheet name="CP-021" sheetId="23" state="visible" r:id="rId25"/>
    <sheet name="CP-022" sheetId="24" state="visible" r:id="rId26"/>
    <sheet name="CP-023" sheetId="25" state="visible" r:id="rId27"/>
    <sheet name="CP-024" sheetId="26" state="visible" r:id="rId28"/>
    <sheet name="CP-025" sheetId="27" state="visible" r:id="rId29"/>
    <sheet name="CP-026" sheetId="28" state="visible" r:id="rId30"/>
    <sheet name="CP-027" sheetId="29" state="visible" r:id="rId31"/>
    <sheet name="CP-028" sheetId="30" state="visible" r:id="rId32"/>
    <sheet name="CP-029" sheetId="31" state="visible" r:id="rId33"/>
    <sheet name="CP-030" sheetId="32" state="visible" r:id="rId34"/>
    <sheet name="CP-031" sheetId="33" state="visible" r:id="rId35"/>
    <sheet name="CP-032" sheetId="34" state="visible" r:id="rId36"/>
    <sheet name="CP-033" sheetId="35" state="visible" r:id="rId37"/>
    <sheet name="CP-034" sheetId="36" state="visible" r:id="rId38"/>
    <sheet name="CP-035" sheetId="37" state="visible" r:id="rId39"/>
    <sheet name="CP-036" sheetId="38" state="visible" r:id="rId40"/>
    <sheet name="CP-037" sheetId="39" state="visible" r:id="rId41"/>
    <sheet name="CP-038" sheetId="40" state="visible" r:id="rId42"/>
    <sheet name="CP-039" sheetId="41" state="visible" r:id="rId43"/>
    <sheet name="CP-040" sheetId="42" state="visible" r:id="rId44"/>
    <sheet name="CP-041" sheetId="43" state="visible" r:id="rId45"/>
    <sheet name="CP-042" sheetId="44" state="visible" r:id="rId46"/>
    <sheet name="CP-043" sheetId="45" state="visible" r:id="rId47"/>
    <sheet name="CP-044" sheetId="46" state="visible" r:id="rId48"/>
    <sheet name="CP-045" sheetId="47" state="visible" r:id="rId49"/>
    <sheet name="CP-046" sheetId="48" state="visible" r:id="rId50"/>
    <sheet name="CP-047" sheetId="49" state="visible" r:id="rId51"/>
    <sheet name="CP-048" sheetId="50" state="visible" r:id="rId52"/>
    <sheet name="CP-049" sheetId="51" state="visible" r:id="rId53"/>
    <sheet name="CP-050" sheetId="52" state="visible" r:id="rId54"/>
    <sheet name="CP-051" sheetId="53" state="visible" r:id="rId55"/>
    <sheet name="CP-052" sheetId="54" state="visible" r:id="rId56"/>
    <sheet name="CP-053" sheetId="55" state="visible" r:id="rId57"/>
    <sheet name="CP-054" sheetId="56" state="visible" r:id="rId58"/>
    <sheet name="CP-055" sheetId="57" state="visible" r:id="rId59"/>
    <sheet name="CP-056" sheetId="58" state="visible" r:id="rId60"/>
    <sheet name="CP-057" sheetId="59" state="visible" r:id="rId61"/>
    <sheet name="CP-058" sheetId="60" state="visible" r:id="rId62"/>
    <sheet name="CP-059" sheetId="61" state="visible" r:id="rId63"/>
    <sheet name="CP-060" sheetId="62" state="visible" r:id="rId64"/>
    <sheet name="CP-061" sheetId="63" state="visible" r:id="rId65"/>
    <sheet name="CP-062" sheetId="64" state="visible" r:id="rId66"/>
    <sheet name="CP-063" sheetId="65" state="visible" r:id="rId67"/>
    <sheet name="CP-064" sheetId="66" state="visible" r:id="rId68"/>
    <sheet name="CP-065" sheetId="67" state="visible" r:id="rId69"/>
    <sheet name="CP-066" sheetId="68" state="visible" r:id="rId70"/>
    <sheet name="CP - Plantilla" sheetId="69" state="visible" r:id="rId71"/>
    <sheet name="DF - Plantilla" sheetId="70" state="visible" r:id="rId72"/>
  </sheets>
  <definedNames>
    <definedName function="false" hidden="true" localSheetId="0" name="_xlnm._FilterDatabase" vbProcedure="false">'Reporte de ejecución - Entrega1'!$A$3:$K$69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<sst xmlns="http://schemas.openxmlformats.org/spreadsheetml/2006/main" count="4510" uniqueCount="647">
  <si>
    <t xml:space="preserve">GhostMan - Entrega 1 - Reporte de ejecución de casos de prueba (V1, ciclo 1)</t>
  </si>
  <si>
    <t xml:space="preserve">Completar las columnas Estado, Ejecutor, Fecha, Defectos y Observaciones (en azul). Estados según la sección 12.2: Aprobado, Fallido, Bloqueado, No ejecutado, No aplica. Un caso Fallido debe indicar su defecto (DEF-nnn) en la columna Defectos. El ID de cada caso abre su hoja de detalle.</t>
  </si>
  <si>
    <t xml:space="preserve">Test case ID</t>
  </si>
  <si>
    <t xml:space="preserve">Épica</t>
  </si>
  <si>
    <t xml:space="preserve">Prioridad</t>
  </si>
  <si>
    <t xml:space="preserve">Título</t>
  </si>
  <si>
    <t xml:space="preserve">Historia de usuario</t>
  </si>
  <si>
    <t xml:space="preserve">Camino feliz</t>
  </si>
  <si>
    <t xml:space="preserve">Estado</t>
  </si>
  <si>
    <t xml:space="preserve">Ejecutor</t>
  </si>
  <si>
    <t xml:space="preserve">Fecha</t>
  </si>
  <si>
    <t xml:space="preserve">Defectos</t>
  </si>
  <si>
    <t xml:space="preserve">Observaciones</t>
  </si>
  <si>
    <t xml:space="preserve">Identificación del ciclo (sección 12.1)</t>
  </si>
  <si>
    <t xml:space="preserve">CP-001</t>
  </si>
  <si>
    <t xml:space="preserve">E1</t>
  </si>
  <si>
    <t xml:space="preserve">Alta</t>
  </si>
  <si>
    <t xml:space="preserve">Movimiento de Pacman con las flechas</t>
  </si>
  <si>
    <t xml:space="preserve">HU-01</t>
  </si>
  <si>
    <t xml:space="preserve">Sí</t>
  </si>
  <si>
    <t xml:space="preserve">Ciclo de ejecución</t>
  </si>
  <si>
    <t xml:space="preserve">Nº 1</t>
  </si>
  <si>
    <t xml:space="preserve">CP-002</t>
  </si>
  <si>
    <t xml:space="preserve">Movimiento de Pacman con WASD</t>
  </si>
  <si>
    <t xml:space="preserve">Versión bajo prueba</t>
  </si>
  <si>
    <t xml:space="preserve">V1</t>
  </si>
  <si>
    <t xml:space="preserve">CP-003</t>
  </si>
  <si>
    <t xml:space="preserve">Avance continuo sin mantener la tecla</t>
  </si>
  <si>
    <t xml:space="preserve">Commit</t>
  </si>
  <si>
    <t xml:space="preserve">CP-004</t>
  </si>
  <si>
    <t xml:space="preserve">Media</t>
  </si>
  <si>
    <t xml:space="preserve">Giro postergado hasta la primera celda posible</t>
  </si>
  <si>
    <t xml:space="preserve">No</t>
  </si>
  <si>
    <t xml:space="preserve">Entorno (URL de despliegue)</t>
  </si>
  <si>
    <t xml:space="preserve">CP-005</t>
  </si>
  <si>
    <t xml:space="preserve">Dirección bloqueada por un muro</t>
  </si>
  <si>
    <t xml:space="preserve">Navegador y versión</t>
  </si>
  <si>
    <t xml:space="preserve">CP-006</t>
  </si>
  <si>
    <t xml:space="preserve">Inversión de marcha a mitad de corredor</t>
  </si>
  <si>
    <t xml:space="preserve">Fecha de inicio</t>
  </si>
  <si>
    <t xml:space="preserve">CP-007</t>
  </si>
  <si>
    <t xml:space="preserve">Pacman no atraviesa los muros</t>
  </si>
  <si>
    <t xml:space="preserve">HU-02</t>
  </si>
  <si>
    <t xml:space="preserve">Fecha de cierre</t>
  </si>
  <si>
    <t xml:space="preserve">CP-008</t>
  </si>
  <si>
    <t xml:space="preserve">Pacman no sale de los límites del mapa</t>
  </si>
  <si>
    <t xml:space="preserve">Ejecutores</t>
  </si>
  <si>
    <t xml:space="preserve">Rodriguez Castro, Tsai</t>
  </si>
  <si>
    <t xml:space="preserve">CP-009</t>
  </si>
  <si>
    <t xml:space="preserve">Los fantasmas clásicos no atraviesan muros</t>
  </si>
  <si>
    <t xml:space="preserve">CP-010</t>
  </si>
  <si>
    <t xml:space="preserve">Zona transitable coincidente con el mapa dibujado</t>
  </si>
  <si>
    <t xml:space="preserve">Resumen cuantitativo (sección 12.4)</t>
  </si>
  <si>
    <t xml:space="preserve">CP-011</t>
  </si>
  <si>
    <t xml:space="preserve">Consumo de una esfera común</t>
  </si>
  <si>
    <t xml:space="preserve">HU-03</t>
  </si>
  <si>
    <t xml:space="preserve">Casos diseñados para la V1</t>
  </si>
  <si>
    <t xml:space="preserve">CP-012</t>
  </si>
  <si>
    <t xml:space="preserve">Una esfera consumida no reaparece al perder una vida</t>
  </si>
  <si>
    <t xml:space="preserve">Casos ejecutados (Aprobado + Fallido)</t>
  </si>
  <si>
    <t xml:space="preserve">CP-013</t>
  </si>
  <si>
    <t xml:space="preserve">Los fantasmas no consumen esferas</t>
  </si>
  <si>
    <t xml:space="preserve">Casos aprobados</t>
  </si>
  <si>
    <t xml:space="preserve">CP-014</t>
  </si>
  <si>
    <t xml:space="preserve">Finalización del nivel al consumir la última esfera</t>
  </si>
  <si>
    <t xml:space="preserve">HU-04</t>
  </si>
  <si>
    <t xml:space="preserve">Casos fallidos</t>
  </si>
  <si>
    <t xml:space="preserve">CP-015</t>
  </si>
  <si>
    <t xml:space="preserve">El nivel no se completa si queda una esfera grande</t>
  </si>
  <si>
    <t xml:space="preserve">Casos bloqueados</t>
  </si>
  <si>
    <t xml:space="preserve">CP-016</t>
  </si>
  <si>
    <t xml:space="preserve">Paso al nivel siguiente conservando puntaje y vidas</t>
  </si>
  <si>
    <t xml:space="preserve">Casos no ejecutados (incluye sin estado)</t>
  </si>
  <si>
    <t xml:space="preserve">CP-017</t>
  </si>
  <si>
    <t xml:space="preserve">Victoria al completar el nivel 3</t>
  </si>
  <si>
    <t xml:space="preserve">Casos no aplica</t>
  </si>
  <si>
    <t xml:space="preserve">CP-018</t>
  </si>
  <si>
    <t xml:space="preserve">E2</t>
  </si>
  <si>
    <t xml:space="preserve">Activación automática del PowerUp</t>
  </si>
  <si>
    <t xml:space="preserve">HU-05</t>
  </si>
  <si>
    <t xml:space="preserve">CP-019</t>
  </si>
  <si>
    <t xml:space="preserve">Duración del PowerUp</t>
  </si>
  <si>
    <t xml:space="preserve">Indicadores</t>
  </si>
  <si>
    <t xml:space="preserve">CP-020</t>
  </si>
  <si>
    <t xml:space="preserve">Los fantasmas huyen durante el PowerUp</t>
  </si>
  <si>
    <t xml:space="preserve">Avance de la ejecución (ejecutados / diseñados)</t>
  </si>
  <si>
    <t xml:space="preserve">CP-021</t>
  </si>
  <si>
    <t xml:space="preserve">Reinicio del temporizador por una segunda esfera grande</t>
  </si>
  <si>
    <t xml:space="preserve">Tasa de aprobación (aprobados / ejecutados)</t>
  </si>
  <si>
    <t xml:space="preserve">CP-022</t>
  </si>
  <si>
    <t xml:space="preserve">Reinicio de la escala de puntos por una segunda esfera grande</t>
  </si>
  <si>
    <t xml:space="preserve">Tasa de fallo (fallidos / ejecutados)</t>
  </si>
  <si>
    <t xml:space="preserve">CP-023</t>
  </si>
  <si>
    <t xml:space="preserve">Escala de puntos por fantasmas comidos</t>
  </si>
  <si>
    <t xml:space="preserve">HU-06</t>
  </si>
  <si>
    <t xml:space="preserve">Cobertura de prioridad Alta (ejecutados Alta / diseñados Alta)</t>
  </si>
  <si>
    <t xml:space="preserve">CP-024</t>
  </si>
  <si>
    <t xml:space="preserve">Reinicio de la escala al terminar el PowerUp</t>
  </si>
  <si>
    <t xml:space="preserve">Densidad de defectos (defectos / casos ejecutados)</t>
  </si>
  <si>
    <t xml:space="preserve">CP-025</t>
  </si>
  <si>
    <t xml:space="preserve">Comer un fantasma no descuenta vidas</t>
  </si>
  <si>
    <t xml:space="preserve">CP-026</t>
  </si>
  <si>
    <t xml:space="preserve">Reaparición del fantasma comido</t>
  </si>
  <si>
    <t xml:space="preserve">Resultados por épica (sección 12.5)</t>
  </si>
  <si>
    <t xml:space="preserve">CP-027</t>
  </si>
  <si>
    <t xml:space="preserve">Fantasma que reaparece con el PowerUp aún activo</t>
  </si>
  <si>
    <t xml:space="preserve">Diseñados</t>
  </si>
  <si>
    <t xml:space="preserve">Ejecutados</t>
  </si>
  <si>
    <t xml:space="preserve">Aprobados</t>
  </si>
  <si>
    <t xml:space="preserve">Fallidos</t>
  </si>
  <si>
    <t xml:space="preserve">Bloqueados</t>
  </si>
  <si>
    <t xml:space="preserve">Tasa de aprobación</t>
  </si>
  <si>
    <t xml:space="preserve">CP-028</t>
  </si>
  <si>
    <t xml:space="preserve">Parpadeo en los últimos 2 segundos del PowerUp</t>
  </si>
  <si>
    <t xml:space="preserve">HU-07</t>
  </si>
  <si>
    <t xml:space="preserve">E1 — Núcleo de juego y movimiento</t>
  </si>
  <si>
    <t xml:space="preserve">CP-029</t>
  </si>
  <si>
    <t xml:space="preserve">Esfera grande consumida durante el parpadeo</t>
  </si>
  <si>
    <t xml:space="preserve">E2 — PowerUp e interacción con fantasmas</t>
  </si>
  <si>
    <t xml:space="preserve">CP-030</t>
  </si>
  <si>
    <t xml:space="preserve">Descuento de una vida por contacto con un fantasma</t>
  </si>
  <si>
    <t xml:space="preserve">HU-08</t>
  </si>
  <si>
    <t xml:space="preserve">E3 — Vidas, puntaje y fin de partida</t>
  </si>
  <si>
    <t xml:space="preserve">CP-031</t>
  </si>
  <si>
    <t xml:space="preserve">Un solo contacto no descuenta más de una vida</t>
  </si>
  <si>
    <t xml:space="preserve">E4 — Niveles y progresión de dificultad</t>
  </si>
  <si>
    <t xml:space="preserve">CP-032</t>
  </si>
  <si>
    <t xml:space="preserve">El PowerUp se cancela al perder una vida</t>
  </si>
  <si>
    <t xml:space="preserve">E5 — Control de la partida</t>
  </si>
  <si>
    <t xml:space="preserve">CP-033</t>
  </si>
  <si>
    <t xml:space="preserve">Reanudación del nivel tras perder una vida</t>
  </si>
  <si>
    <t xml:space="preserve">Total</t>
  </si>
  <si>
    <t xml:space="preserve">CP-034</t>
  </si>
  <si>
    <t xml:space="preserve">E3</t>
  </si>
  <si>
    <t xml:space="preserve">Presentación del contador de vidas</t>
  </si>
  <si>
    <t xml:space="preserve">HU-09</t>
  </si>
  <si>
    <t xml:space="preserve">CP-035</t>
  </si>
  <si>
    <t xml:space="preserve">Actualización inmediata del contador de vidas</t>
  </si>
  <si>
    <t xml:space="preserve">Organización del equipo de testing (sección 6.1)</t>
  </si>
  <si>
    <t xml:space="preserve">CP-036</t>
  </si>
  <si>
    <t xml:space="preserve">Game Over al perder la tercera vida</t>
  </si>
  <si>
    <t xml:space="preserve">HU-10</t>
  </si>
  <si>
    <t xml:space="preserve">Test Lead</t>
  </si>
  <si>
    <t xml:space="preserve">Savoia</t>
  </si>
  <si>
    <t xml:space="preserve">CP-037</t>
  </si>
  <si>
    <t xml:space="preserve">Game Over en un nivel distinto del primero</t>
  </si>
  <si>
    <t xml:space="preserve">Diseño de casos de prueba (V1)</t>
  </si>
  <si>
    <t xml:space="preserve">Cruz, Luzzi</t>
  </si>
  <si>
    <t xml:space="preserve">CP-038</t>
  </si>
  <si>
    <t xml:space="preserve">Puntaje visible y actualizado en el HUD</t>
  </si>
  <si>
    <t xml:space="preserve">HU-11</t>
  </si>
  <si>
    <t xml:space="preserve">Ejecución y reporte de defectos (V1)</t>
  </si>
  <si>
    <t xml:space="preserve">CP-039</t>
  </si>
  <si>
    <t xml:space="preserve">El puntaje no disminuye ni se reinicia entre niveles</t>
  </si>
  <si>
    <t xml:space="preserve">CP-040</t>
  </si>
  <si>
    <t xml:space="preserve">Consumo de una fruta</t>
  </si>
  <si>
    <t xml:space="preserve">HU-12</t>
  </si>
  <si>
    <t xml:space="preserve">CP-041</t>
  </si>
  <si>
    <t xml:space="preserve">Baja</t>
  </si>
  <si>
    <t xml:space="preserve">Desaparición de una fruta no consumida</t>
  </si>
  <si>
    <t xml:space="preserve">CP-042</t>
  </si>
  <si>
    <t xml:space="preserve">Cálculo del bonus por tiempo</t>
  </si>
  <si>
    <t xml:space="preserve">HU-13</t>
  </si>
  <si>
    <t xml:space="preserve">CP-043</t>
  </si>
  <si>
    <t xml:space="preserve">Bonus por tiempo al exceder el tiempo objetivo</t>
  </si>
  <si>
    <t xml:space="preserve">CP-044</t>
  </si>
  <si>
    <t xml:space="preserve">Bonus por vidas restantes y consistencia del desglose</t>
  </si>
  <si>
    <t xml:space="preserve">CP-045</t>
  </si>
  <si>
    <t xml:space="preserve">Bonus por vidas en un Game Over</t>
  </si>
  <si>
    <t xml:space="preserve">CP-046</t>
  </si>
  <si>
    <t xml:space="preserve">Contador de esferas restantes</t>
  </si>
  <si>
    <t xml:space="preserve">HU-14</t>
  </si>
  <si>
    <t xml:space="preserve">CP-047</t>
  </si>
  <si>
    <t xml:space="preserve">E4</t>
  </si>
  <si>
    <t xml:space="preserve">Los tres niveles y sus mapas</t>
  </si>
  <si>
    <t xml:space="preserve">HU-15</t>
  </si>
  <si>
    <t xml:space="preserve">CP-048</t>
  </si>
  <si>
    <t xml:space="preserve">Los mapas no varían entre partidas</t>
  </si>
  <si>
    <t xml:space="preserve">CP-049</t>
  </si>
  <si>
    <t xml:space="preserve">Solo fantasmas clásicos en el nivel 1</t>
  </si>
  <si>
    <t xml:space="preserve">HU-16</t>
  </si>
  <si>
    <t xml:space="preserve">CP-050</t>
  </si>
  <si>
    <t xml:space="preserve">Reaparición como clásico en el nivel 1</t>
  </si>
  <si>
    <t xml:space="preserve">CP-051</t>
  </si>
  <si>
    <t xml:space="preserve">Composición inicial de fantasmas del nivel 2</t>
  </si>
  <si>
    <t xml:space="preserve">HU-17</t>
  </si>
  <si>
    <t xml:space="preserve">CP-052</t>
  </si>
  <si>
    <t xml:space="preserve">Reaparición con poderes en el nivel 2</t>
  </si>
  <si>
    <t xml:space="preserve">CP-053</t>
  </si>
  <si>
    <t xml:space="preserve">Todos los fantasmas con poderes en el nivel 3</t>
  </si>
  <si>
    <t xml:space="preserve">CP-054</t>
  </si>
  <si>
    <t xml:space="preserve">Velocidad reducida del espectro</t>
  </si>
  <si>
    <t xml:space="preserve">CP-055</t>
  </si>
  <si>
    <t xml:space="preserve">El espectro atraviesa una pared</t>
  </si>
  <si>
    <t xml:space="preserve">HU-18</t>
  </si>
  <si>
    <t xml:space="preserve">CP-056</t>
  </si>
  <si>
    <t xml:space="preserve">Cooldown de la habilidad del espectro</t>
  </si>
  <si>
    <t xml:space="preserve">CP-057</t>
  </si>
  <si>
    <t xml:space="preserve">Estado de gracia del espectro tras atravesar un muro</t>
  </si>
  <si>
    <t xml:space="preserve">CP-058</t>
  </si>
  <si>
    <t xml:space="preserve">El espectro no sale del mapa con su habilidad</t>
  </si>
  <si>
    <t xml:space="preserve">CP-059</t>
  </si>
  <si>
    <t xml:space="preserve">El espectro es vulnerable durante el PowerUp</t>
  </si>
  <si>
    <t xml:space="preserve">CP-060</t>
  </si>
  <si>
    <t xml:space="preserve">Pantalla de Game Over</t>
  </si>
  <si>
    <t xml:space="preserve">HU-19</t>
  </si>
  <si>
    <t xml:space="preserve">CP-061</t>
  </si>
  <si>
    <t xml:space="preserve">Pantalla de Victoria</t>
  </si>
  <si>
    <t xml:space="preserve">CP-062</t>
  </si>
  <si>
    <t xml:space="preserve">Reinicio completo del estado al volver a jugar</t>
  </si>
  <si>
    <t xml:space="preserve">CP-063</t>
  </si>
  <si>
    <t xml:space="preserve">E5</t>
  </si>
  <si>
    <t xml:space="preserve">Pausa y reanudación con ESC</t>
  </si>
  <si>
    <t xml:space="preserve">HU-20</t>
  </si>
  <si>
    <t xml:space="preserve">CP-064</t>
  </si>
  <si>
    <t xml:space="preserve">Los temporizadores se detienen durante la pausa</t>
  </si>
  <si>
    <t xml:space="preserve">CP-065</t>
  </si>
  <si>
    <t xml:space="preserve">El bonus por tiempo no se afecta por la pausa</t>
  </si>
  <si>
    <t xml:space="preserve">CP-066</t>
  </si>
  <si>
    <t xml:space="preserve">La barra espaciadora no tiene efecto en modo Pacman</t>
  </si>
  <si>
    <t xml:space="preserve">HU-21</t>
  </si>
  <si>
    <t xml:space="preserve">GhostMan - Entrega 1 - Registro de defectos (V1, ciclo 1)</t>
  </si>
  <si>
    <t xml:space="preserve">Una fila por defecto, en orden de detección (DEF-001, DEF-002, …). Campos de la sección 13.3; severidad y prioridad según 13.1; estado según 13.2. El detalle completo (pasos, resultados, evidencia) va en una hoja copiada de «DF - Plantilla» y nombrada con el ID del defecto.</t>
  </si>
  <si>
    <t xml:space="preserve">Todo defecto debe ser confirmado por un integrante distinto del que lo reportó antes de pasar a corrección (13.2).</t>
  </si>
  <si>
    <t xml:space="preserve">ID</t>
  </si>
  <si>
    <t xml:space="preserve">Caso de prueba</t>
  </si>
  <si>
    <t xml:space="preserve">HU</t>
  </si>
  <si>
    <t xml:space="preserve">Severidad</t>
  </si>
  <si>
    <t xml:space="preserve">Versión / commit</t>
  </si>
  <si>
    <t xml:space="preserve">Entorno (navegador, resolución)</t>
  </si>
  <si>
    <t xml:space="preserve">Reproducibilidad</t>
  </si>
  <si>
    <t xml:space="preserve">Reportado por</t>
  </si>
  <si>
    <t xml:space="preserve">Confirmado por</t>
  </si>
  <si>
    <t xml:space="preserve">Defectos por severidad</t>
  </si>
  <si>
    <t xml:space="preserve">Bloqueante</t>
  </si>
  <si>
    <t xml:space="preserve">Crítica</t>
  </si>
  <si>
    <t xml:space="preserve">Mayor</t>
  </si>
  <si>
    <t xml:space="preserve">Menor</t>
  </si>
  <si>
    <t xml:space="preserve">Trivial</t>
  </si>
  <si>
    <t xml:space="preserve">Defectos por estado</t>
  </si>
  <si>
    <t xml:space="preserve">Nuevo</t>
  </si>
  <si>
    <t xml:space="preserve">Confirmado</t>
  </si>
  <si>
    <t xml:space="preserve">No reproducible</t>
  </si>
  <si>
    <t xml:space="preserve">En corrección</t>
  </si>
  <si>
    <t xml:space="preserve">Corregido</t>
  </si>
  <si>
    <t xml:space="preserve">Verificado</t>
  </si>
  <si>
    <t xml:space="preserve">Diferido</t>
  </si>
  <si>
    <t xml:space="preserve">Rechazado</t>
  </si>
  <si>
    <t xml:space="preserve">Defectos por épica (según el CP)</t>
  </si>
  <si>
    <t xml:space="preserve">E1 (CP-001 a CP-017)</t>
  </si>
  <si>
    <t xml:space="preserve">E2 (CP-018 a CP-033)</t>
  </si>
  <si>
    <t xml:space="preserve">E3 (CP-034 a CP-046)</t>
  </si>
  <si>
    <t xml:space="preserve">E4 (CP-047 a CP-062)</t>
  </si>
  <si>
    <t xml:space="preserve">E5 (CP-063 a CP-066)</t>
  </si>
  <si>
    <t xml:space="preserve">Exploratoria</t>
  </si>
  <si>
    <t xml:space="preserve">Test Case ID</t>
  </si>
  <si>
    <t xml:space="preserve">Descripción / Funcionalidad</t>
  </si>
  <si>
    <t xml:space="preserve">HU-01 · Mover a Pacman por el mapa</t>
  </si>
  <si>
    <t xml:space="preserve">Registro de ejecución</t>
  </si>
  <si>
    <t xml:space="preserve">Creado por</t>
  </si>
  <si>
    <t xml:space="preserve">Versión</t>
  </si>
  <si>
    <t xml:space="preserve">1</t>
  </si>
  <si>
    <t xml:space="preserve">Ciclo</t>
  </si>
  <si>
    <t xml:space="preserve">Resultado obtenido</t>
  </si>
  <si>
    <t xml:space="preserve">Defecto</t>
  </si>
  <si>
    <t xml:space="preserve">Reporte de ejecución 1</t>
  </si>
  <si>
    <t xml:space="preserve">Estado en la Entrega 1</t>
  </si>
  <si>
    <t xml:space="preserve">Ciclo 1</t>
  </si>
  <si>
    <t xml:space="preserve">Ciclo 2</t>
  </si>
  <si>
    <t xml:space="preserve">Prioridad (Alta, Media, Baja)</t>
  </si>
  <si>
    <t xml:space="preserve">Técnica de diseño</t>
  </si>
  <si>
    <t xml:space="preserve">Partición de equivalencia</t>
  </si>
  <si>
    <t xml:space="preserve">Ciclo 3</t>
  </si>
  <si>
    <t xml:space="preserve">Estado del ciclo 1: cargarlo en la hoja del reporte; la celda «Estado en la Entrega 1» lo toma de ahí. Este registro es para el resultado obtenido y los reintentos.</t>
  </si>
  <si>
    <t xml:space="preserve">#</t>
  </si>
  <si>
    <t xml:space="preserve">Pre-requisitos</t>
  </si>
  <si>
    <t xml:space="preserve">Datos de prueba</t>
  </si>
  <si>
    <t xml:space="preserve">Abrir la aplicación desplegada en un navegador de escritorio.</t>
  </si>
  <si>
    <t xml:space="preserve">Entorno:</t>
  </si>
  <si>
    <t xml:space="preserve">Aplicación desplegada en Vercel (URL en el Anexo C)</t>
  </si>
  <si>
    <t xml:space="preserve">Iniciar una partida en modo Pacman.</t>
  </si>
  <si>
    <t xml:space="preserve">Navegador:</t>
  </si>
  <si>
    <t xml:space="preserve">Google Chrome de escritorio</t>
  </si>
  <si>
    <t xml:space="preserve">Partida en curso (N1).</t>
  </si>
  <si>
    <t xml:space="preserve">Modo de juego:</t>
  </si>
  <si>
    <t xml:space="preserve">Pacman</t>
  </si>
  <si>
    <t xml:space="preserve">Nivel inicial:</t>
  </si>
  <si>
    <t xml:space="preserve">Vidas iniciales:</t>
  </si>
  <si>
    <t xml:space="preserve">3</t>
  </si>
  <si>
    <t xml:space="preserve">PowerUp:</t>
  </si>
  <si>
    <t xml:space="preserve">Inactivo</t>
  </si>
  <si>
    <t xml:space="preserve">Título del CP</t>
  </si>
  <si>
    <t xml:space="preserve">Historias de Usuario</t>
  </si>
  <si>
    <t xml:space="preserve">Estado Automatización</t>
  </si>
  <si>
    <t xml:space="preserve">No automatizado</t>
  </si>
  <si>
    <t xml:space="preserve">Pasos #</t>
  </si>
  <si>
    <t xml:space="preserve">Detalle de pasos</t>
  </si>
  <si>
    <t xml:space="preserve">Resultado esperado</t>
  </si>
  <si>
    <t xml:space="preserve">Presionar ←.</t>
  </si>
  <si>
    <t xml:space="preserve">Pacman se desplaza hacia la izquierda.</t>
  </si>
  <si>
    <t xml:space="preserve">Presionar ↑.</t>
  </si>
  <si>
    <t xml:space="preserve">Pacman se desplaza hacia arriba.</t>
  </si>
  <si>
    <t xml:space="preserve">Presionar →.</t>
  </si>
  <si>
    <t xml:space="preserve">Pacman se desplaza hacia la derecha.</t>
  </si>
  <si>
    <t xml:space="preserve">Presionar ↓.</t>
  </si>
  <si>
    <t xml:space="preserve">Pacman se desplaza en la dirección de cada tecla presionada, siempre que el camino esté libre.</t>
  </si>
  <si>
    <t xml:space="preserve">El caso se aprueba solo si se cumple todo el resultado esperado del último paso (en negrita); si cualquier parte no se cumple, se registra como Fallido.</t>
  </si>
  <si>
    <t xml:space="preserve">Presionar A.</t>
  </si>
  <si>
    <t xml:space="preserve">Pacman se desplaza hacia la izquierda, igual que con ←.</t>
  </si>
  <si>
    <t xml:space="preserve">Presionar W.</t>
  </si>
  <si>
    <t xml:space="preserve">Pacman se desplaza hacia arriba, igual que con ↑.</t>
  </si>
  <si>
    <t xml:space="preserve">Presionar D.</t>
  </si>
  <si>
    <t xml:space="preserve">Pacman se desplaza hacia la derecha, igual que con →.</t>
  </si>
  <si>
    <t xml:space="preserve">Presionar S.</t>
  </si>
  <si>
    <t xml:space="preserve">Cada tecla produce el mismo desplazamiento que ←, ↑, → y ↓ respectivamente.</t>
  </si>
  <si>
    <t xml:space="preserve">Adivinación de errores</t>
  </si>
  <si>
    <t xml:space="preserve">Partida en curso (N1), Pacman en un corredor libre.</t>
  </si>
  <si>
    <t xml:space="preserve">Presionar y liberar de inmediato la tecla de una dirección libre.</t>
  </si>
  <si>
    <t xml:space="preserve">Pacman comienza a avanzar en la dirección indicada.</t>
  </si>
  <si>
    <t xml:space="preserve">Observar durante 3 segundos sin tocar el teclado.</t>
  </si>
  <si>
    <t xml:space="preserve">Pacman sigue avanzando en esa dirección durante los 3 segundos, hasta encontrar un muro.</t>
  </si>
  <si>
    <t xml:space="preserve">Transición de estados</t>
  </si>
  <si>
    <t xml:space="preserve">Partida en curso (N1), Pacman avanzando por un corredor horizontal con una intersección hacia arriba a 3 celdas de distancia.</t>
  </si>
  <si>
    <t xml:space="preserve">Con Pacman en movimiento horizontal, presionar ↑ antes de llegar a la intersección.</t>
  </si>
  <si>
    <t xml:space="preserve">Pacman continúa avanzando en horizontal y gira hacia arriba al llegar a la intersección, sin detenerse en el trayecto.</t>
  </si>
  <si>
    <t xml:space="preserve">Valores límite</t>
  </si>
  <si>
    <t xml:space="preserve">Partida en curso (N1), Pacman avanzando por un corredor horizontal con muros arriba y abajo.</t>
  </si>
  <si>
    <t xml:space="preserve">Presionar ↑ con el muro inmediatamente arriba.</t>
  </si>
  <si>
    <t xml:space="preserve">Pacman mantiene su dirección horizontal de avance. No se detiene ni queda trabado.</t>
  </si>
  <si>
    <t xml:space="preserve">Partida en curso (N1), Pacman avanzando hacia la derecha en un corredor.</t>
  </si>
  <si>
    <t xml:space="preserve">Presionar ← a mitad del corredor.</t>
  </si>
  <si>
    <t xml:space="preserve">Pacman invierte su marcha de inmediato, sin necesidad de llegar a una intersección.</t>
  </si>
  <si>
    <t xml:space="preserve">HU-02 · Impedir el paso a través de los muros</t>
  </si>
  <si>
    <t xml:space="preserve">Dirigir a Pacman contra un muro.</t>
  </si>
  <si>
    <t xml:space="preserve">Pacman avanza hasta quedar junto al muro.</t>
  </si>
  <si>
    <t xml:space="preserve">Mantener presionada la tecla de esa dirección durante 5 segundos.</t>
  </si>
  <si>
    <t xml:space="preserve">Pacman se detiene contra el muro, no lo atraviesa, no queda superpuesto al muro y no queda encajado: al indicar otra dirección válida se mueve con normalidad.</t>
  </si>
  <si>
    <t xml:space="preserve">Llevar a Pacman al borde del mapa por cada uno de los cuatro lados.</t>
  </si>
  <si>
    <t xml:space="preserve">Pacman llega al borde del mapa en cada lado.</t>
  </si>
  <si>
    <t xml:space="preserve">Presionar la tecla que apunta hacia afuera del mapa.</t>
  </si>
  <si>
    <t xml:space="preserve">Pacman no sale del mapa por ninguno de los cuatro lados y permanece visible en pantalla.</t>
  </si>
  <si>
    <t xml:space="preserve">Observar el desplazamiento de los cuatro fantasmas durante 60 segundos.</t>
  </si>
  <si>
    <t xml:space="preserve">Ningún fantasma atraviesa un muro ni sale de los límites del mapa en ningún momento.</t>
  </si>
  <si>
    <t xml:space="preserve">Recorrer con Pacman los caminos marcados con puntos blancos.</t>
  </si>
  <si>
    <t xml:space="preserve">Todos los caminos marcados son transitables, y no existe ninguna celda transitable que no esté marcada como camino.</t>
  </si>
  <si>
    <t xml:space="preserve">HU-03 · Consumir las esferas del mapa</t>
  </si>
  <si>
    <t xml:space="preserve">Partida en curso (N1), puntaje 0.</t>
  </si>
  <si>
    <t xml:space="preserve">Registrar el puntaje y el contador de esferas restantes.</t>
  </si>
  <si>
    <t xml:space="preserve">Puntaje y contador de esferas anotados como valores de referencia.</t>
  </si>
  <si>
    <t xml:space="preserve">Desplazar a Pacman sobre una esfera común.</t>
  </si>
  <si>
    <t xml:space="preserve">Pacman pasa por la celda de la esfera.</t>
  </si>
  <si>
    <t xml:space="preserve">Registrar ambos valores.</t>
  </si>
  <si>
    <t xml:space="preserve">La esfera desaparece del mapa, el puntaje aumenta exactamente 10 y el contador de esferas restantes disminuye exactamente 1.</t>
  </si>
  <si>
    <t xml:space="preserve">Consumir al menos 10 esferas y registrar la zona despejada.</t>
  </si>
  <si>
    <t xml:space="preserve">Contador disminuido en 10 y zona sin esferas identificada.</t>
  </si>
  <si>
    <t xml:space="preserve">Dejar que un fantasma alcance a Pacman.</t>
  </si>
  <si>
    <t xml:space="preserve">Se descuenta una vida y los personajes vuelven a su posición inicial.</t>
  </si>
  <si>
    <t xml:space="preserve">Observar la zona despejada al reanudarse el nivel.</t>
  </si>
  <si>
    <t xml:space="preserve">Las esferas consumidas antes de perder la vida siguen ausentes del mapa.</t>
  </si>
  <si>
    <t xml:space="preserve">Registrar el contador de esferas restantes.</t>
  </si>
  <si>
    <t xml:space="preserve">Valor del contador anotado como referencia.</t>
  </si>
  <si>
    <t xml:space="preserve">Observar durante 30 segundos sin mover a Pacman, mientras los fantasmas recorren el mapa sobre celdas con esferas.</t>
  </si>
  <si>
    <t xml:space="preserve">El contador de esferas restantes no cambia y las esferas por las que pasaron los fantasmas siguen en el mapa.</t>
  </si>
  <si>
    <t xml:space="preserve">HU-04 · Completar el nivel al consumir todas las esferas</t>
  </si>
  <si>
    <t xml:space="preserve">Partida en curso (N1) con una sola esfera restante en el mapa.</t>
  </si>
  <si>
    <t xml:space="preserve">Consumir la última esfera.</t>
  </si>
  <si>
    <t xml:space="preserve">El nivel se completa, la partida se detiene y se muestra el resultado del nivel con su puntaje.</t>
  </si>
  <si>
    <t xml:space="preserve">Partida en curso (N1) con todas las esferas comunes consumidas y una esfera grande sin consumir.</t>
  </si>
  <si>
    <t xml:space="preserve">Observar el estado de la partida.</t>
  </si>
  <si>
    <t xml:space="preserve">La partida sigue en curso: el nivel no se da por completado.</t>
  </si>
  <si>
    <t xml:space="preserve">Verificar el contador de esferas restantes.</t>
  </si>
  <si>
    <t xml:space="preserve">El nivel no se completa y el contador indica 1 esfera restante. La partida continúa.</t>
  </si>
  <si>
    <t xml:space="preserve">Partida en curso (N1) próxima a completarse, con 2 vidas restantes y puntaje registrado.</t>
  </si>
  <si>
    <t xml:space="preserve">Registrar puntaje y vidas.</t>
  </si>
  <si>
    <t xml:space="preserve">Puntaje y vidas anotados como valores de referencia.</t>
  </si>
  <si>
    <t xml:space="preserve">Completar el nivel 1.</t>
  </si>
  <si>
    <t xml:space="preserve">Se muestra el resultado del nivel 1 con su puntaje.</t>
  </si>
  <si>
    <t xml:space="preserve">Registrar puntaje, vidas y número de nivel.</t>
  </si>
  <si>
    <t xml:space="preserve">Se inicia el nivel 2, el puntaje acumulado se conserva y el contador de vidas sigue en 2.</t>
  </si>
  <si>
    <t xml:space="preserve">Partida en curso en el nivel 3, próxima a completarse.</t>
  </si>
  <si>
    <t xml:space="preserve">Nivel:</t>
  </si>
  <si>
    <t xml:space="preserve">Consumir la última esfera del nivel 3.</t>
  </si>
  <si>
    <t xml:space="preserve">La partida termina en victoria y se muestra la pantalla de Victoria con el puntaje final.</t>
  </si>
  <si>
    <t xml:space="preserve">HU-05 · Obtener el PowerUp al consumir una esfera grande</t>
  </si>
  <si>
    <t xml:space="preserve">Partida en curso (N1), sin PowerUp activo.</t>
  </si>
  <si>
    <t xml:space="preserve">Registrar el puntaje.</t>
  </si>
  <si>
    <t xml:space="preserve">Puntaje anotado como valor de referencia.</t>
  </si>
  <si>
    <t xml:space="preserve">Consumir una esfera grande sin presionar ninguna otra tecla.</t>
  </si>
  <si>
    <t xml:space="preserve">El PowerUp se activa de inmediato sin intervención del jugador, el puntaje aumenta exactamente 50, los fantasmas cambian su diseño y se alejan de Pacman.</t>
  </si>
  <si>
    <t xml:space="preserve">Consumir una esfera grande y cronometrar desde ese instante.</t>
  </si>
  <si>
    <t xml:space="preserve">El PowerUp se activa y los fantasmas cambian a su diseño vulnerable.</t>
  </si>
  <si>
    <t xml:space="preserve">Observar el estado de los fantasmas a los 7 segundos.</t>
  </si>
  <si>
    <t xml:space="preserve">A los 7 segundos los fantasmas siguen vulnerables (parpadeando).</t>
  </si>
  <si>
    <t xml:space="preserve">Observarlo a los 9 segundos.</t>
  </si>
  <si>
    <t xml:space="preserve">A los 7 segundos los fantasmas siguen en estado vulnerable; a los 9 segundos recuperaron su diseño normal y volvieron a perseguir a Pacman. La duración total es de 8 segundos.</t>
  </si>
  <si>
    <t xml:space="preserve">Partida en curso (N1), un fantasma persiguiendo a Pacman a corta distancia.</t>
  </si>
  <si>
    <t xml:space="preserve">Consumir una esfera grande.</t>
  </si>
  <si>
    <t xml:space="preserve">Observar la trayectoria del fantasma que perseguía a Pacman.</t>
  </si>
  <si>
    <t xml:space="preserve">El fantasma deja de acercarse a Pacman y se desplaza alejándose de él.</t>
  </si>
  <si>
    <t xml:space="preserve">Partida en curso (N1), dos esferas grandes accesibles.</t>
  </si>
  <si>
    <t xml:space="preserve">El PowerUp se activa.</t>
  </si>
  <si>
    <t xml:space="preserve">A los 5 segundos, consumir la segunda esfera grande.</t>
  </si>
  <si>
    <t xml:space="preserve">La segunda esfera grande desaparece y el PowerUp sigue activo.</t>
  </si>
  <si>
    <t xml:space="preserve">Cronometrar desde el segundo consumo.</t>
  </si>
  <si>
    <t xml:space="preserve">El PowerUp permanece activo 8 segundos completos a partir del segundo consumo, no 3.</t>
  </si>
  <si>
    <t xml:space="preserve">Tabla de decisión</t>
  </si>
  <si>
    <t xml:space="preserve">Comer un fantasma y registrar los puntos obtenidos.</t>
  </si>
  <si>
    <t xml:space="preserve">El fantasma es comido y suma 200 puntos.</t>
  </si>
  <si>
    <t xml:space="preserve">Consumir la segunda esfera grande.</t>
  </si>
  <si>
    <t xml:space="preserve">Comer otro fantasma y registrar los puntos obtenidos.</t>
  </si>
  <si>
    <t xml:space="preserve">El fantasma del paso 2 suma 200 puntos y el del paso 4 suma 200 puntos, no 400.</t>
  </si>
  <si>
    <t xml:space="preserve">HU-06 · Comer fantasmas durante el PowerUp</t>
  </si>
  <si>
    <t xml:space="preserve">Partida en curso (N1), cuatro fantasmas próximos a Pacman.</t>
  </si>
  <si>
    <t xml:space="preserve">Comer los cuatro fantasmas dentro de la duración del PowerUp, registrando el puntaje antes y después de cada uno.</t>
  </si>
  <si>
    <t xml:space="preserve">Los incrementos de puntaje son exactamente 200, 400, 800 y 1600, en ese orden.</t>
  </si>
  <si>
    <t xml:space="preserve">Consumir una esfera grande y comer un fantasma (200 puntos).</t>
  </si>
  <si>
    <t xml:space="preserve">El fantasma es comido y el puntaje aumenta 200.</t>
  </si>
  <si>
    <t xml:space="preserve">Esperar a que el PowerUp termine.</t>
  </si>
  <si>
    <t xml:space="preserve">Los fantasmas recuperan su diseño normal.</t>
  </si>
  <si>
    <t xml:space="preserve">Consumir otra esfera grande y comer un fantasma, registrando el incremento.</t>
  </si>
  <si>
    <t xml:space="preserve">El fantasma del paso 3 suma 200 puntos, no 400.</t>
  </si>
  <si>
    <t xml:space="preserve">Partida en curso (N1), 3 vidas, PowerUp activo.</t>
  </si>
  <si>
    <t xml:space="preserve">Registrar el contador de vidas.</t>
  </si>
  <si>
    <t xml:space="preserve">Contador de vidas anotado como referencia.</t>
  </si>
  <si>
    <t xml:space="preserve">Tocar un fantasma con el PowerUp activo.</t>
  </si>
  <si>
    <t xml:space="preserve">El fantasma es comido y desaparece del mapa.</t>
  </si>
  <si>
    <t xml:space="preserve">El fantasma desaparece del mapa, el contador de vidas sigue en 3 y el nivel no se reinicia.</t>
  </si>
  <si>
    <t xml:space="preserve">Partida en curso (N1), PowerUp activo.</t>
  </si>
  <si>
    <t xml:space="preserve">Comer un fantasma y cronometrar.</t>
  </si>
  <si>
    <t xml:space="preserve">El fantasma desaparece del mapa.</t>
  </si>
  <si>
    <t xml:space="preserve">Observar el punto de reaparición y el momento en que reaparece.</t>
  </si>
  <si>
    <t xml:space="preserve">El fantasma reaparece en su punto de reaparición a los 5 segundos y retoma su comportamiento normal.</t>
  </si>
  <si>
    <t xml:space="preserve">Comer un fantasma de inmediato (200 puntos).</t>
  </si>
  <si>
    <t xml:space="preserve">Esperar su reaparición dentro de los 8 segundos del PowerUp.</t>
  </si>
  <si>
    <t xml:space="preserve">El fantasma reaparece en su punto de reaparición a los 5 segundos.</t>
  </si>
  <si>
    <t xml:space="preserve">Comerlo otra vez y registrar el incremento.</t>
  </si>
  <si>
    <t xml:space="preserve">El fantasma reaparece en estado vulnerable, puede volver a ser comido y el incremento del paso 4 es de 400 puntos: la escala continúa y no se reinicia.</t>
  </si>
  <si>
    <t xml:space="preserve">HU-07 · Advertir el fin del PowerUp</t>
  </si>
  <si>
    <t xml:space="preserve">Consumir una esfera grande y cronometrar.</t>
  </si>
  <si>
    <t xml:space="preserve">El PowerUp se activa y los fantasmas cambian a su diseño vulnerable estable.</t>
  </si>
  <si>
    <t xml:space="preserve">Observar el aspecto de los fantasmas a los 5 segundos y a los 7 segundos.</t>
  </si>
  <si>
    <t xml:space="preserve">A los 5 segundos los fantasmas muestran el estado vulnerable estable; a los 7 segundos parpadean. El parpadeo se distingue tanto del estado vulnerable estable como del diseño normal.</t>
  </si>
  <si>
    <t xml:space="preserve">Partida en curso (N1), una esfera grande accesible.</t>
  </si>
  <si>
    <t xml:space="preserve">Al iniciarse el parpadeo, consumir la segunda esfera grande.</t>
  </si>
  <si>
    <t xml:space="preserve">La segunda esfera grande desaparece.</t>
  </si>
  <si>
    <t xml:space="preserve">Observar el aspecto de los fantasmas.</t>
  </si>
  <si>
    <t xml:space="preserve">El parpadeo cesa, los fantasmas vuelven al estado vulnerable estable y el PowerUp se extiende 8 segundos desde el segundo consumo.</t>
  </si>
  <si>
    <t xml:space="preserve">HU-08 · Perder una vida al ser alcanzado por un fantasma</t>
  </si>
  <si>
    <t xml:space="preserve">Partida en curso (N1), 3 vidas, sin PowerUp activo.</t>
  </si>
  <si>
    <t xml:space="preserve">Registrar el contador de vidas y el puntaje.</t>
  </si>
  <si>
    <t xml:space="preserve">Vidas y puntaje anotados como valores de referencia.</t>
  </si>
  <si>
    <t xml:space="preserve">Se produce el contacto entre Pacman y el fantasma.</t>
  </si>
  <si>
    <t xml:space="preserve">El contador de vidas baja a 2, el puntaje acumulado se conserva, y Pacman y los fantasmas vuelven a sus posiciones iniciales.</t>
  </si>
  <si>
    <t xml:space="preserve">Partida en curso (N1), 3 vidas.</t>
  </si>
  <si>
    <t xml:space="preserve">Dirigir a Pacman de frente contra un fantasma, sin cambiar de dirección durante el contacto.</t>
  </si>
  <si>
    <t xml:space="preserve">Se produce un único contacto con el fantasma.</t>
  </si>
  <si>
    <t xml:space="preserve">Registrar el contador de vidas inmediatamente después.</t>
  </si>
  <si>
    <t xml:space="preserve">Se descuenta exactamente una vida. El contador queda en 2 y no en 1 ni en 0.</t>
  </si>
  <si>
    <t xml:space="preserve">Partida en curso (N1), PowerUp activo, un fantasma en estado de gracia o recién reaparecido.</t>
  </si>
  <si>
    <t xml:space="preserve">Con el PowerUp activo, perder una vida por contacto con un fantasma no vulnerable.</t>
  </si>
  <si>
    <t xml:space="preserve">Se descuenta una vida.</t>
  </si>
  <si>
    <t xml:space="preserve">Observar el estado de los fantasmas al reanudarse el nivel.</t>
  </si>
  <si>
    <t xml:space="preserve">El PowerUp queda cancelado: los fantasmas muestran su diseño normal y persiguen a Pacman.</t>
  </si>
  <si>
    <t xml:space="preserve">Partida en curso (N1), 3 vidas, al menos 15 esferas consumidas.</t>
  </si>
  <si>
    <t xml:space="preserve">Perder una vida.</t>
  </si>
  <si>
    <t xml:space="preserve">Observar el nivel, el puntaje, las esferas y las posiciones de los personajes.</t>
  </si>
  <si>
    <t xml:space="preserve">Se reanuda el mismo nivel 1, con el puntaje conservado, las esferas consumidas ausentes y los personajes en sus posiciones iniciales.</t>
  </si>
  <si>
    <t xml:space="preserve">HU-09 · Ver la cantidad de vidas restantes</t>
  </si>
  <si>
    <t xml:space="preserve">Partida recién iniciada en modo Pacman.</t>
  </si>
  <si>
    <t xml:space="preserve">Observar el extremo inferior izquierdo de la pantalla.</t>
  </si>
  <si>
    <t xml:space="preserve">Se muestran 3 íconos de Pacman como contador de vidas, no un número.</t>
  </si>
  <si>
    <t xml:space="preserve">Perder una vida y observar el contador.</t>
  </si>
  <si>
    <t xml:space="preserve">El contador pasa de 3 a 2 íconos en el momento de la pérdida.</t>
  </si>
  <si>
    <t xml:space="preserve">Perder una segunda vida y observar.</t>
  </si>
  <si>
    <t xml:space="preserve">El contador pasa de 2 a 1 ícono en el momento de la pérdida.</t>
  </si>
  <si>
    <t xml:space="preserve">Perder la tercera y observar.</t>
  </si>
  <si>
    <t xml:space="preserve">El contador muestra 2 íconos, luego 1, y finalmente ninguno. La actualización ocurre en el momento de cada pérdida.</t>
  </si>
  <si>
    <t xml:space="preserve">HU-10 · Terminar la partida al agotar las vidas</t>
  </si>
  <si>
    <t xml:space="preserve">Partida en curso (N1), 1 vida restante.</t>
  </si>
  <si>
    <t xml:space="preserve">Perder la última vida.</t>
  </si>
  <si>
    <t xml:space="preserve">El contador de vidas queda sin íconos.</t>
  </si>
  <si>
    <t xml:space="preserve">Observar la pantalla y esperar 5 segundos.</t>
  </si>
  <si>
    <t xml:space="preserve">La partida termina, se muestra la pantalla de Game Over con el puntaje final, y el nivel no se reinicia ni se reanuda.</t>
  </si>
  <si>
    <t xml:space="preserve">Partida en curso en el nivel 3, 1 vida restante.</t>
  </si>
  <si>
    <t xml:space="preserve">La partida termina con Game Over en el nivel 3, con el mismo comportamiento que en el nivel 1.</t>
  </si>
  <si>
    <t xml:space="preserve">HU-11 · Ver el puntaje durante la partida</t>
  </si>
  <si>
    <t xml:space="preserve">Verificar el puntaje inicial.</t>
  </si>
  <si>
    <t xml:space="preserve">El HUD muestra puntaje 0.</t>
  </si>
  <si>
    <t xml:space="preserve">Consumir una esfera común, una esfera grande y un fantasma con el PowerUp activo, observando el HUD después de cada acción.</t>
  </si>
  <si>
    <t xml:space="preserve">El puntaje inicia en 0 y se actualiza de manera inmediata tras cada acción, en +10, +50 y +200 respectivamente.</t>
  </si>
  <si>
    <t xml:space="preserve">Partida en curso (N1) con puntaje mayor a 0.</t>
  </si>
  <si>
    <t xml:space="preserve">Perder una vida y registrar.</t>
  </si>
  <si>
    <t xml:space="preserve">El puntaje es igual al anotado en el paso anterior.</t>
  </si>
  <si>
    <t xml:space="preserve">Completar el nivel y registrar al inicio del nivel 2.</t>
  </si>
  <si>
    <t xml:space="preserve">El puntaje no disminuye en ningún momento y se conserva al cambiar de nivel.</t>
  </si>
  <si>
    <t xml:space="preserve">HU-12 · Sumar puntos por las frutas</t>
  </si>
  <si>
    <t xml:space="preserve">Partida en curso en el nivel 3, con una fruta presente en el mapa.</t>
  </si>
  <si>
    <t xml:space="preserve">Consumir la fruta.</t>
  </si>
  <si>
    <t xml:space="preserve">La fruta desaparece del mapa.</t>
  </si>
  <si>
    <t xml:space="preserve">La fruta desaparece, el puntaje aumenta exactamente 100 y el contador de esferas restantes no cambia.</t>
  </si>
  <si>
    <t xml:space="preserve">Partida en curso en el nivel 3, con una fruta que acaba de aparecer.</t>
  </si>
  <si>
    <t xml:space="preserve">Cronometrar desde la aparición de la fruta sin consumirla.</t>
  </si>
  <si>
    <t xml:space="preserve">Cronómetro iniciado en el instante en que aparece la fruta.</t>
  </si>
  <si>
    <t xml:space="preserve">Observar el mapa a los 14 segundos y a los 16 segundos.</t>
  </si>
  <si>
    <t xml:space="preserve">A los 14 segundos la fruta sigue en el mapa; a los 16 segundos ya no está.</t>
  </si>
  <si>
    <t xml:space="preserve">HU-13 · Conocer el puntaje final desglosado</t>
  </si>
  <si>
    <t xml:space="preserve">Completar el nivel 1 en menos de 120 segundos, registrando el tiempo empleado.</t>
  </si>
  <si>
    <t xml:space="preserve">Nivel completado y tiempo empleado anotado.</t>
  </si>
  <si>
    <t xml:space="preserve">Verificar el bonus por tiempo en el desglose.</t>
  </si>
  <si>
    <t xml:space="preserve">El bonus por tiempo es igual a 10 multiplicado por los segundos **enteros** restantes respecto de los 120 segundos objetivo, descartando la fracción. Por ejemplo, un tiempo de 100,5 s deja 19 s y da un bonus de 190 (sección 4.2).</t>
  </si>
  <si>
    <t xml:space="preserve">Completar el nivel 1 en más de 120 segundos.</t>
  </si>
  <si>
    <t xml:space="preserve">Nivel completado después de los 120 segundos.</t>
  </si>
  <si>
    <t xml:space="preserve">Verificar el bonus por tiempo.</t>
  </si>
  <si>
    <t xml:space="preserve">El bonus por tiempo es 0 y en ningún caso un valor negativo.</t>
  </si>
  <si>
    <t xml:space="preserve">Partida completada en victoria con 2 vidas restantes.</t>
  </si>
  <si>
    <t xml:space="preserve">Registrar cada componente del desglose y el total.</t>
  </si>
  <si>
    <t xml:space="preserve">Componentes del desglose y total anotados.</t>
  </si>
  <si>
    <t xml:space="preserve">Sumar los componentes manualmente.</t>
  </si>
  <si>
    <t xml:space="preserve">El bonus por vidas es de 1000 puntos (500 por cada una de las 2 vidas) y la suma de todos los componentes coincide exactamente con el total mostrado.</t>
  </si>
  <si>
    <t xml:space="preserve">Partida terminada en Game Over.</t>
  </si>
  <si>
    <t xml:space="preserve">Verificar el bonus por vidas restantes en el desglose.</t>
  </si>
  <si>
    <t xml:space="preserve">El bonus por vidas restantes es 0.</t>
  </si>
  <si>
    <t xml:space="preserve">HU-14 · Ver el progreso de esferas del nivel</t>
  </si>
  <si>
    <t xml:space="preserve">Registrar el valor inicial del contador y contar las esferas del mapa, incluidas las grandes.</t>
  </si>
  <si>
    <t xml:space="preserve">El valor inicial coincide con el total de esferas contadas, incluidas las grandes.</t>
  </si>
  <si>
    <t xml:space="preserve">Consumir 5 esferas y verificar el contador.</t>
  </si>
  <si>
    <t xml:space="preserve">El contador disminuyó exactamente 5.</t>
  </si>
  <si>
    <t xml:space="preserve">Completar el nivel y verificar el contador al llegar a la última esfera.</t>
  </si>
  <si>
    <t xml:space="preserve">El contador llega a 0 al consumir la última esfera.</t>
  </si>
  <si>
    <t xml:space="preserve">Verificar el contador al iniciar el nivel 2.</t>
  </si>
  <si>
    <t xml:space="preserve">El valor inicial coincide con el total de esferas del mapa incluidas las grandes, disminuye en 1 por esfera consumida, llega a 0 exactamente al completarse el nivel, y se reinicia al total del nivel 2.</t>
  </si>
  <si>
    <t xml:space="preserve">HU-15 · Jugar tres niveles con mapas propios</t>
  </si>
  <si>
    <t xml:space="preserve">Ninguna.</t>
  </si>
  <si>
    <t xml:space="preserve">Jugar una partida completando los tres niveles.</t>
  </si>
  <si>
    <t xml:space="preserve">La partida recorre los niveles 1, 2 y 3 en ese orden.</t>
  </si>
  <si>
    <t xml:space="preserve">Registrar la forma y la paleta de cada mapa, y el número de nivel del HUD.</t>
  </si>
  <si>
    <t xml:space="preserve">Los niveles se juegan en orden 1, 2, 3; cada mapa tiene forma propia distinta de la de los otros dos; el nivel 1 es negro con franjas rojas y contorno celeste, el 2 azul sobre negro con contorno azul y sin franjas, el 3 verde brillante; los caminos están marcados con puntos blancos en los tres; el HUD indica el nivel en curso.</t>
  </si>
  <si>
    <t xml:space="preserve">Una partida jugada, con el mapa del nivel 1 registrado.</t>
  </si>
  <si>
    <t xml:space="preserve">Iniciar una partida nueva.</t>
  </si>
  <si>
    <t xml:space="preserve">Se inicia una partida nueva en el nivel 1.</t>
  </si>
  <si>
    <t xml:space="preserve">Comparar el mapa del nivel 1 con el registrado.</t>
  </si>
  <si>
    <t xml:space="preserve">El mapa del nivel 1 es idéntico al de la partida anterior, en forma, distribución de esferas y ubicación de las esferas grandes.</t>
  </si>
  <si>
    <t xml:space="preserve">HU-16 · Enfrentar solo fantasmas clásicos en el nivel 1</t>
  </si>
  <si>
    <t xml:space="preserve">Observar los cuatro fantasmas durante todo el nivel 1.</t>
  </si>
  <si>
    <t xml:space="preserve">Durante el nivel 1 se observan los cuatro fantasmas.</t>
  </si>
  <si>
    <t xml:space="preserve">Comparar sus velocidades de desplazamiento.</t>
  </si>
  <si>
    <t xml:space="preserve">Los cuatro fantasmas son clásicos, ninguno atraviesa muros, se teletransporta, coloca frutas falsas ni ejecuta un dash, y los cuatro se desplazan a la misma velocidad.</t>
  </si>
  <si>
    <t xml:space="preserve">Comer al menos 4 fantasmas a lo largo del nivel 1.</t>
  </si>
  <si>
    <t xml:space="preserve">Cada fantasma comido desaparece del mapa y reaparece a los 5 segundos.</t>
  </si>
  <si>
    <t xml:space="preserve">Observar el tipo de cada fantasma que reaparece.</t>
  </si>
  <si>
    <t xml:space="preserve">Todos los fantasmas reaparecen como clásicos, sin excepción.</t>
  </si>
  <si>
    <t xml:space="preserve">HU-17 · Enfrentar fantasmas con poderes a partir del nivel 2</t>
  </si>
  <si>
    <t xml:space="preserve">Nivel 2 recién iniciado.</t>
  </si>
  <si>
    <t xml:space="preserve">Observar el tipo de los cuatro fantasmas al comenzar el nivel.</t>
  </si>
  <si>
    <t xml:space="preserve">Los cuatro fantasmas son de tipo clásico al inicio del nivel 2.</t>
  </si>
  <si>
    <t xml:space="preserve">Partida en curso en el nivel 2.</t>
  </si>
  <si>
    <t xml:space="preserve">2</t>
  </si>
  <si>
    <t xml:space="preserve">Comer al menos 8 fantasmas a lo largo del nivel 2, registrando el tipo de cada reaparición.</t>
  </si>
  <si>
    <t xml:space="preserve">Aparecen reapariciones de ambos tipos, clásico y espectro, en una proporción consistente con el 50 % especificado. Los espectros son visualmente distinguibles de los clásicos.</t>
  </si>
  <si>
    <t xml:space="preserve">Nivel 3 recién iniciado.</t>
  </si>
  <si>
    <t xml:space="preserve">Los cuatro fantasmas tienen poderes desde el inicio del nivel 3.</t>
  </si>
  <si>
    <t xml:space="preserve">Partida en curso en el nivel 2 con al menos un espectro y un clásico en el mapa.</t>
  </si>
  <si>
    <t xml:space="preserve">Observar el desplazamiento de un espectro y de un clásico por un tramo recto comparable, midiendo el tiempo de cada uno.</t>
  </si>
  <si>
    <t xml:space="preserve">El espectro tarda aproximadamente un 43 % más de tiempo en recorrer el mismo tramo, consistente con una velocidad un 30 % menor.</t>
  </si>
  <si>
    <t xml:space="preserve">HU-18 · Enfrentar al fantasma espectro</t>
  </si>
  <si>
    <t xml:space="preserve">Partida en curso en el nivel 3.</t>
  </si>
  <si>
    <t xml:space="preserve">Observar el desplazamiento de un espectro durante 60 segundos.</t>
  </si>
  <si>
    <t xml:space="preserve">El espectro atraviesa paredes, y en cada activación atraviesa una sola pared: no cruza una secuencia de paredes contiguas en un mismo uso.</t>
  </si>
  <si>
    <t xml:space="preserve">Registrar el instante en que un espectro atraviesa una pared.</t>
  </si>
  <si>
    <t xml:space="preserve">Instante del primer cruce anotado.</t>
  </si>
  <si>
    <t xml:space="preserve">Cronometrar hasta la siguiente pared que atraviesa el mismo espectro.</t>
  </si>
  <si>
    <t xml:space="preserve">Entre dos usos de la habilidad transcurren al menos 10 segundos.</t>
  </si>
  <si>
    <t xml:space="preserve">Partida en curso en el nivel 3, sin PowerUp activo, 3 vidas.</t>
  </si>
  <si>
    <t xml:space="preserve">Esperar a que un espectro atraviese una pared.</t>
  </si>
  <si>
    <t xml:space="preserve">El espectro atraviesa la pared y se muestra con su estado de gracia.</t>
  </si>
  <si>
    <t xml:space="preserve">Dirigir a Pacman al contacto con ese espectro dentro de los 3 segundos siguientes.</t>
  </si>
  <si>
    <t xml:space="preserve">Se produce el contacto dentro de los 3 segundos posteriores al cruce.</t>
  </si>
  <si>
    <t xml:space="preserve">El contacto no descuenta vidas, el estado del espectro es visualmente distinguible durante esos 3 segundos, y transcurridos los 3 segundos el contacto vuelve a descontar una vida.</t>
  </si>
  <si>
    <t xml:space="preserve">Observar durante 90 segundos el comportamiento de los espectros en los corredores adyacentes al borde del mapa.</t>
  </si>
  <si>
    <t xml:space="preserve">Ningún espectro sale de los límites del mapa ni queda ubicado dentro de un bloque de muro sin celda transitable de destino.</t>
  </si>
  <si>
    <t xml:space="preserve">El PowerUp se activa y el espectro cambia a su diseño vulnerable.</t>
  </si>
  <si>
    <t xml:space="preserve">Comer un espectro.</t>
  </si>
  <si>
    <t xml:space="preserve">El espectro es comido y suma los puntos que correspondan en la escala.</t>
  </si>
  <si>
    <t xml:space="preserve">Registrar el puntaje y el contador de vidas.</t>
  </si>
  <si>
    <t xml:space="preserve">El espectro cambia a estado vulnerable, puede ser comido, suma puntos según la escala vigente y no descuenta vidas.</t>
  </si>
  <si>
    <t xml:space="preserve">HU-19 · Cerrar la partida y volver a jugar</t>
  </si>
  <si>
    <t xml:space="preserve">Observar la pantalla.</t>
  </si>
  <si>
    <t xml:space="preserve">Se muestra la pantalla de Game Over con el puntaje final desglosado y con la acción de volver a jugar disponible.</t>
  </si>
  <si>
    <t xml:space="preserve">Completar el nivel 3.</t>
  </si>
  <si>
    <t xml:space="preserve">Se completa la última esfera del nivel 3.</t>
  </si>
  <si>
    <t xml:space="preserve">Se muestra la pantalla de Victoria con el puntaje final desglosado y con la acción de volver a jugar disponible.</t>
  </si>
  <si>
    <t xml:space="preserve">Partida terminada en Game Over en el nivel 3, con puntaje mayor a 0.</t>
  </si>
  <si>
    <t xml:space="preserve">Usar la acción de volver a jugar.</t>
  </si>
  <si>
    <t xml:space="preserve">Se inicia una partida nueva.</t>
  </si>
  <si>
    <t xml:space="preserve">Verificar nivel, vidas, puntaje y estado de los mapas.</t>
  </si>
  <si>
    <t xml:space="preserve">Nivel 1, 3 vidas, puntaje 0 y el mapa completo con todas sus esferas.</t>
  </si>
  <si>
    <t xml:space="preserve">Completar el nivel 1 y verificar el mapa del nivel 2.</t>
  </si>
  <si>
    <t xml:space="preserve">La partida nueva inicia en el nivel 1 con 3 vidas y puntaje 0, con todas las esferas y frutas restablecidas en el nivel 1 y también en los niveles siguientes.</t>
  </si>
  <si>
    <t xml:space="preserve">HU-20 · Pausar la partida</t>
  </si>
  <si>
    <t xml:space="preserve">Partida en curso (N1) con los personajes en movimiento.</t>
  </si>
  <si>
    <t xml:space="preserve">Presionar ESC.</t>
  </si>
  <si>
    <t xml:space="preserve">La partida se detiene y se muestra el cartel de pausa.</t>
  </si>
  <si>
    <t xml:space="preserve">Observar la pantalla durante 5 segundos.</t>
  </si>
  <si>
    <t xml:space="preserve">Pacman y los fantasmas permanecen inmóviles.</t>
  </si>
  <si>
    <t xml:space="preserve">Presionar las teclas de movimiento.</t>
  </si>
  <si>
    <t xml:space="preserve">Pacman no se mueve.</t>
  </si>
  <si>
    <t xml:space="preserve">Presionar ESC otra vez.</t>
  </si>
  <si>
    <t xml:space="preserve">La partida se detiene, los personajes quedan inmóviles, la pantalla indica de manera visible el estado de pausa, las teclas de movimiento no producen efecto, y el segundo ESC reanuda la partida.</t>
  </si>
  <si>
    <t xml:space="preserve">A los 2 segundos, presionar ESC.</t>
  </si>
  <si>
    <t xml:space="preserve">La partida se pausa con el PowerUp activo.</t>
  </si>
  <si>
    <t xml:space="preserve">Mantener la pausa 15 segundos.</t>
  </si>
  <si>
    <t xml:space="preserve">El PowerUp sigue activo y los fantasmas inmóviles durante la pausa.</t>
  </si>
  <si>
    <t xml:space="preserve">Reanudar y cronometrar cuánto dura el PowerUp desde la reanudación.</t>
  </si>
  <si>
    <t xml:space="preserve">El PowerUp continúa 6 segundos desde la reanudación. No termina durante la pausa ni al reanudarse.</t>
  </si>
  <si>
    <t xml:space="preserve">Completar el nivel 1 con una pausa de 60 segundos en el medio, registrando el tiempo de juego efectivo.</t>
  </si>
  <si>
    <t xml:space="preserve">Nivel completado y tiempo de juego efectivo anotado.</t>
  </si>
  <si>
    <t xml:space="preserve">El bonus por tiempo se calcula sobre el tiempo de juego efectivo y no incluye los 60 segundos de pausa.</t>
  </si>
  <si>
    <t xml:space="preserve">HU-21 · Ignorar la barra espaciadora en modo Pacman</t>
  </si>
  <si>
    <t xml:space="preserve">Partida en curso (N1), sin PowerUp activo, puntaje y vidas registrados.</t>
  </si>
  <si>
    <t xml:space="preserve">Presionar la barra espaciadora 10 veces.</t>
  </si>
  <si>
    <t xml:space="preserve">No se produce ningún cambio visible en la partida.</t>
  </si>
  <si>
    <t xml:space="preserve">Verificar puntaje, vidas, estado de la partida y posición de la página en el navegador.</t>
  </si>
  <si>
    <t xml:space="preserve">El estado del juego no cambia en ningún aspecto: la partida no se pausa, el PowerUp no se activa, el puntaje no varía. La página no hace scroll ni ejecuta ninguna acción por defecto del navegador.</t>
  </si>
  <si>
    <t xml:space="preserve">Reporte de defecto</t>
  </si>
  <si>
    <t xml:space="preserve">Copiar esta hoja por cada defecto, nombrarla con su ID (DEF-001, …) y registrarlo también en «Registro de defectos». Reemplazar los textos grises.</t>
  </si>
  <si>
    <t xml:space="preserve">DEF-nnn</t>
  </si>
  <si>
    <t xml:space="preserve">Síntoma en una línea, específico y sin diagnóstico. Ej.: «El PowerUp dura más de 8 segundos».</t>
  </si>
  <si>
    <t xml:space="preserve">CP que lo detectó (ej.: CP-019 - Duración del PowerUp) o «Exploratoria».</t>
  </si>
  <si>
    <t xml:space="preserve">HU afectada y criterio de aceptación (ej.: HU-05 - «El PowerUp dura 8 segundos»).</t>
  </si>
  <si>
    <t xml:space="preserve">Bloqueante / Crítica / Mayor / Menor / Trivial (sección 13.1).</t>
  </si>
  <si>
    <t xml:space="preserve">Alta / Media / Baja (sección 13.1).</t>
  </si>
  <si>
    <t xml:space="preserve">Nuevo / Confirmado / No reproducible / En corrección / Corregido / Verificado / Diferido / Rechazado (13.2).</t>
  </si>
  <si>
    <t xml:space="preserve">V1 - hash del commit desplegado.</t>
  </si>
  <si>
    <t xml:space="preserve">Entorno</t>
  </si>
  <si>
    <t xml:space="preserve">Navegador y versión, resolución, URL de despliegue.</t>
  </si>
  <si>
    <t xml:space="preserve">Precondiciones</t>
  </si>
  <si>
    <t xml:space="preserve">Estado necesario para reproducirlo.</t>
  </si>
  <si>
    <t xml:space="preserve">Pasos para reproducir</t>
  </si>
  <si>
    <t xml:space="preserve">1) …
2) …
3) …</t>
  </si>
  <si>
    <t xml:space="preserve">Comportamiento especificado, con referencia al criterio de aceptación o al parámetro de la sección 4.</t>
  </si>
  <si>
    <t xml:space="preserve">Comportamiento efectivamente observado.</t>
  </si>
  <si>
    <t xml:space="preserve">Siempre / Intermitente (indicar frecuencia, ej.: 3 de 10 intentos).</t>
  </si>
  <si>
    <t xml:space="preserve">Evidencia</t>
  </si>
  <si>
    <t xml:space="preserve">Captura o grabación (enlace o nombre de archivo en el Anexo B).</t>
  </si>
  <si>
    <t xml:space="preserve">Integrante que lo detectó.</t>
  </si>
  <si>
    <t xml:space="preserve">Integrante distinto del que lo reportó.</t>
  </si>
  <si>
    <t xml:space="preserve">dd/mm/aaaa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</si>
</sst>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%"/>
    <numFmt numFmtId="168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0563C1"/>
      </patternFill>
    </fill>
    <fill>
      <patternFill patternType="solid">
        <fgColor rgb="FFFFFFCC"/>
        <bgColor rgb="FFFFFFFF"/>
      </patternFill>
    </fill>
    <fill>
      <patternFill patternType="solid">
        <fgColor rgb="FFD9E1F2"/>
        <bgColor rgb="FFEDEDED"/>
      </patternFill>
    </fill>
    <fill>
      <patternFill patternType="solid">
        <fgColor rgb="FFC00000"/>
        <bgColor rgb="FF9C0006"/>
      </patternFill>
    </fill>
    <fill>
      <patternFill patternType="solid">
        <fgColor rgb="FFC6EFC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595959"/>
      </font>
      <fill>
        <patternFill>
          <bgColor rgb="FFEDEDED"/>
        </patternFill>
      </fill>
    </dxf>
    <dxf>
      <font>
        <b val="1"/>
        <color rgb="FFFFFFFF"/>
      </font>
      <fill>
        <patternFill>
          <bgColor rgb="FFC00000"/>
        </patternFill>
      </fill>
    </dxf>
    <dxf>
      <font>
        <b val="1"/>
        <color rgb="FF000000"/>
      </font>
      <fill>
        <patternFill>
          <bgColor rgb="FFFF7C80"/>
        </patternFill>
      </fill>
    </dxf>
    <dxf>
      <font>
        <color rgb="FF000000"/>
      </font>
      <fill>
        <patternFill>
          <bgColor rgb="FFFFC7CE"/>
        </patternFill>
      </fill>
    </dxf>
    <dxf>
      <font>
        <color rgb="FF000000"/>
      </font>
      <fill>
        <patternFill>
          <bgColor rgb="FFFFEB9C"/>
        </patternFill>
      </fill>
    </dxf>
    <dxf>
      <font>
        <color rgb="FF000000"/>
      </font>
      <fill>
        <patternFill>
          <bgColor rgb="FFEDEDE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DEDED"/>
      <rgbColor rgb="FF660066"/>
      <rgbColor rgb="FFFF7C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0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<Relationship Id="rId2" Type="http://schemas.openxmlformats.org/officeDocument/2006/relationships/hyperlink" Target="GhostMan%20-%20Reporte%20de%20Casos%20de%20Prueba%20y%20Ejecuci&#243;n%20-%20Entrega%201.xlsx" TargetMode="External"/><Relationship Id="rId3" Type="http://schemas.openxmlformats.org/officeDocument/2006/relationships/hyperlink" Target="GhostMan%20-%20Reporte%20de%20Casos%20de%20Prueba%20y%20Ejecuci&#243;n%20-%20Entrega%201.xlsx" TargetMode="External"/><Relationship Id="rId4" Type="http://schemas.openxmlformats.org/officeDocument/2006/relationships/hyperlink" Target="GhostMan%20-%20Reporte%20de%20Casos%20de%20Prueba%20y%20Ejecuci&#243;n%20-%20Entrega%201.xlsx" TargetMode="External"/><Relationship Id="rId5" Type="http://schemas.openxmlformats.org/officeDocument/2006/relationships/hyperlink" Target="GhostMan%20-%20Reporte%20de%20Casos%20de%20Prueba%20y%20Ejecuci&#243;n%20-%20Entrega%201.xlsx" TargetMode="External"/><Relationship Id="rId6" Type="http://schemas.openxmlformats.org/officeDocument/2006/relationships/hyperlink" Target="GhostMan%20-%20Reporte%20de%20Casos%20de%20Prueba%20y%20Ejecuci&#243;n%20-%20Entrega%201.xlsx" TargetMode="External"/><Relationship Id="rId7" Type="http://schemas.openxmlformats.org/officeDocument/2006/relationships/hyperlink" Target="GhostMan%20-%20Reporte%20de%20Casos%20de%20Prueba%20y%20Ejecuci&#243;n%20-%20Entrega%201.xlsx" TargetMode="External"/><Relationship Id="rId8" Type="http://schemas.openxmlformats.org/officeDocument/2006/relationships/hyperlink" Target="GhostMan%20-%20Reporte%20de%20Casos%20de%20Prueba%20y%20Ejecuci&#243;n%20-%20Entrega%201.xlsx" TargetMode="External"/><Relationship Id="rId9" Type="http://schemas.openxmlformats.org/officeDocument/2006/relationships/hyperlink" Target="GhostMan%20-%20Reporte%20de%20Casos%20de%20Prueba%20y%20Ejecuci&#243;n%20-%20Entrega%201.xlsx" TargetMode="External"/><Relationship Id="rId10" Type="http://schemas.openxmlformats.org/officeDocument/2006/relationships/hyperlink" Target="GhostMan%20-%20Reporte%20de%20Casos%20de%20Prueba%20y%20Ejecuci&#243;n%20-%20Entrega%201.xlsx" TargetMode="External"/><Relationship Id="rId11" Type="http://schemas.openxmlformats.org/officeDocument/2006/relationships/hyperlink" Target="GhostMan%20-%20Reporte%20de%20Casos%20de%20Prueba%20y%20Ejecuci&#243;n%20-%20Entrega%201.xlsx" TargetMode="External"/><Relationship Id="rId12" Type="http://schemas.openxmlformats.org/officeDocument/2006/relationships/hyperlink" Target="GhostMan%20-%20Reporte%20de%20Casos%20de%20Prueba%20y%20Ejecuci&#243;n%20-%20Entrega%201.xlsx" TargetMode="External"/><Relationship Id="rId13" Type="http://schemas.openxmlformats.org/officeDocument/2006/relationships/hyperlink" Target="GhostMan%20-%20Reporte%20de%20Casos%20de%20Prueba%20y%20Ejecuci&#243;n%20-%20Entrega%201.xlsx" TargetMode="External"/><Relationship Id="rId14" Type="http://schemas.openxmlformats.org/officeDocument/2006/relationships/hyperlink" Target="GhostMan%20-%20Reporte%20de%20Casos%20de%20Prueba%20y%20Ejecuci&#243;n%20-%20Entrega%201.xlsx" TargetMode="External"/><Relationship Id="rId15" Type="http://schemas.openxmlformats.org/officeDocument/2006/relationships/hyperlink" Target="GhostMan%20-%20Reporte%20de%20Casos%20de%20Prueba%20y%20Ejecuci&#243;n%20-%20Entrega%201.xlsx" TargetMode="External"/><Relationship Id="rId16" Type="http://schemas.openxmlformats.org/officeDocument/2006/relationships/hyperlink" Target="GhostMan%20-%20Reporte%20de%20Casos%20de%20Prueba%20y%20Ejecuci&#243;n%20-%20Entrega%201.xlsx" TargetMode="External"/><Relationship Id="rId17" Type="http://schemas.openxmlformats.org/officeDocument/2006/relationships/hyperlink" Target="GhostMan%20-%20Reporte%20de%20Casos%20de%20Prueba%20y%20Ejecuci&#243;n%20-%20Entrega%201.xlsx" TargetMode="External"/><Relationship Id="rId18" Type="http://schemas.openxmlformats.org/officeDocument/2006/relationships/hyperlink" Target="GhostMan%20-%20Reporte%20de%20Casos%20de%20Prueba%20y%20Ejecuci&#243;n%20-%20Entrega%201.xlsx" TargetMode="External"/><Relationship Id="rId19" Type="http://schemas.openxmlformats.org/officeDocument/2006/relationships/hyperlink" Target="GhostMan%20-%20Reporte%20de%20Casos%20de%20Prueba%20y%20Ejecuci&#243;n%20-%20Entrega%201.xlsx" TargetMode="External"/><Relationship Id="rId20" Type="http://schemas.openxmlformats.org/officeDocument/2006/relationships/hyperlink" Target="GhostMan%20-%20Reporte%20de%20Casos%20de%20Prueba%20y%20Ejecuci&#243;n%20-%20Entrega%201.xlsx" TargetMode="External"/><Relationship Id="rId21" Type="http://schemas.openxmlformats.org/officeDocument/2006/relationships/hyperlink" Target="GhostMan%20-%20Reporte%20de%20Casos%20de%20Prueba%20y%20Ejecuci&#243;n%20-%20Entrega%201.xlsx" TargetMode="External"/><Relationship Id="rId22" Type="http://schemas.openxmlformats.org/officeDocument/2006/relationships/hyperlink" Target="GhostMan%20-%20Reporte%20de%20Casos%20de%20Prueba%20y%20Ejecuci&#243;n%20-%20Entrega%201.xlsx" TargetMode="External"/><Relationship Id="rId23" Type="http://schemas.openxmlformats.org/officeDocument/2006/relationships/hyperlink" Target="GhostMan%20-%20Reporte%20de%20Casos%20de%20Prueba%20y%20Ejecuci&#243;n%20-%20Entrega%201.xlsx" TargetMode="External"/><Relationship Id="rId24" Type="http://schemas.openxmlformats.org/officeDocument/2006/relationships/hyperlink" Target="GhostMan%20-%20Reporte%20de%20Casos%20de%20Prueba%20y%20Ejecuci&#243;n%20-%20Entrega%201.xlsx" TargetMode="External"/><Relationship Id="rId25" Type="http://schemas.openxmlformats.org/officeDocument/2006/relationships/hyperlink" Target="GhostMan%20-%20Reporte%20de%20Casos%20de%20Prueba%20y%20Ejecuci&#243;n%20-%20Entrega%201.xlsx" TargetMode="External"/><Relationship Id="rId26" Type="http://schemas.openxmlformats.org/officeDocument/2006/relationships/hyperlink" Target="GhostMan%20-%20Reporte%20de%20Casos%20de%20Prueba%20y%20Ejecuci&#243;n%20-%20Entrega%201.xlsx" TargetMode="External"/><Relationship Id="rId27" Type="http://schemas.openxmlformats.org/officeDocument/2006/relationships/hyperlink" Target="GhostMan%20-%20Reporte%20de%20Casos%20de%20Prueba%20y%20Ejecuci&#243;n%20-%20Entrega%201.xlsx" TargetMode="External"/><Relationship Id="rId28" Type="http://schemas.openxmlformats.org/officeDocument/2006/relationships/hyperlink" Target="GhostMan%20-%20Reporte%20de%20Casos%20de%20Prueba%20y%20Ejecuci&#243;n%20-%20Entrega%201.xlsx" TargetMode="External"/><Relationship Id="rId29" Type="http://schemas.openxmlformats.org/officeDocument/2006/relationships/hyperlink" Target="GhostMan%20-%20Reporte%20de%20Casos%20de%20Prueba%20y%20Ejecuci&#243;n%20-%20Entrega%201.xlsx" TargetMode="External"/><Relationship Id="rId30" Type="http://schemas.openxmlformats.org/officeDocument/2006/relationships/hyperlink" Target="GhostMan%20-%20Reporte%20de%20Casos%20de%20Prueba%20y%20Ejecuci&#243;n%20-%20Entrega%201.xlsx" TargetMode="External"/><Relationship Id="rId31" Type="http://schemas.openxmlformats.org/officeDocument/2006/relationships/hyperlink" Target="GhostMan%20-%20Reporte%20de%20Casos%20de%20Prueba%20y%20Ejecuci&#243;n%20-%20Entrega%201.xlsx" TargetMode="External"/><Relationship Id="rId32" Type="http://schemas.openxmlformats.org/officeDocument/2006/relationships/hyperlink" Target="GhostMan%20-%20Reporte%20de%20Casos%20de%20Prueba%20y%20Ejecuci&#243;n%20-%20Entrega%201.xlsx" TargetMode="External"/><Relationship Id="rId33" Type="http://schemas.openxmlformats.org/officeDocument/2006/relationships/hyperlink" Target="GhostMan%20-%20Reporte%20de%20Casos%20de%20Prueba%20y%20Ejecuci&#243;n%20-%20Entrega%201.xlsx" TargetMode="External"/><Relationship Id="rId34" Type="http://schemas.openxmlformats.org/officeDocument/2006/relationships/hyperlink" Target="GhostMan%20-%20Reporte%20de%20Casos%20de%20Prueba%20y%20Ejecuci&#243;n%20-%20Entrega%201.xlsx" TargetMode="External"/><Relationship Id="rId35" Type="http://schemas.openxmlformats.org/officeDocument/2006/relationships/hyperlink" Target="GhostMan%20-%20Reporte%20de%20Casos%20de%20Prueba%20y%20Ejecuci&#243;n%20-%20Entrega%201.xlsx" TargetMode="External"/><Relationship Id="rId36" Type="http://schemas.openxmlformats.org/officeDocument/2006/relationships/hyperlink" Target="GhostMan%20-%20Reporte%20de%20Casos%20de%20Prueba%20y%20Ejecuci&#243;n%20-%20Entrega%201.xlsx" TargetMode="External"/><Relationship Id="rId37" Type="http://schemas.openxmlformats.org/officeDocument/2006/relationships/hyperlink" Target="GhostMan%20-%20Reporte%20de%20Casos%20de%20Prueba%20y%20Ejecuci&#243;n%20-%20Entrega%201.xlsx" TargetMode="External"/><Relationship Id="rId38" Type="http://schemas.openxmlformats.org/officeDocument/2006/relationships/hyperlink" Target="GhostMan%20-%20Reporte%20de%20Casos%20de%20Prueba%20y%20Ejecuci&#243;n%20-%20Entrega%201.xlsx" TargetMode="External"/><Relationship Id="rId39" Type="http://schemas.openxmlformats.org/officeDocument/2006/relationships/hyperlink" Target="GhostMan%20-%20Reporte%20de%20Casos%20de%20Prueba%20y%20Ejecuci&#243;n%20-%20Entrega%201.xlsx" TargetMode="External"/><Relationship Id="rId40" Type="http://schemas.openxmlformats.org/officeDocument/2006/relationships/hyperlink" Target="GhostMan%20-%20Reporte%20de%20Casos%20de%20Prueba%20y%20Ejecuci&#243;n%20-%20Entrega%201.xlsx" TargetMode="External"/><Relationship Id="rId41" Type="http://schemas.openxmlformats.org/officeDocument/2006/relationships/hyperlink" Target="GhostMan%20-%20Reporte%20de%20Casos%20de%20Prueba%20y%20Ejecuci&#243;n%20-%20Entrega%201.xlsx" TargetMode="External"/><Relationship Id="rId42" Type="http://schemas.openxmlformats.org/officeDocument/2006/relationships/hyperlink" Target="GhostMan%20-%20Reporte%20de%20Casos%20de%20Prueba%20y%20Ejecuci&#243;n%20-%20Entrega%201.xlsx" TargetMode="External"/><Relationship Id="rId43" Type="http://schemas.openxmlformats.org/officeDocument/2006/relationships/hyperlink" Target="GhostMan%20-%20Reporte%20de%20Casos%20de%20Prueba%20y%20Ejecuci&#243;n%20-%20Entrega%201.xlsx" TargetMode="External"/><Relationship Id="rId44" Type="http://schemas.openxmlformats.org/officeDocument/2006/relationships/hyperlink" Target="GhostMan%20-%20Reporte%20de%20Casos%20de%20Prueba%20y%20Ejecuci&#243;n%20-%20Entrega%201.xlsx" TargetMode="External"/><Relationship Id="rId45" Type="http://schemas.openxmlformats.org/officeDocument/2006/relationships/hyperlink" Target="GhostMan%20-%20Reporte%20de%20Casos%20de%20Prueba%20y%20Ejecuci&#243;n%20-%20Entrega%201.xlsx" TargetMode="External"/><Relationship Id="rId46" Type="http://schemas.openxmlformats.org/officeDocument/2006/relationships/hyperlink" Target="GhostMan%20-%20Reporte%20de%20Casos%20de%20Prueba%20y%20Ejecuci&#243;n%20-%20Entrega%201.xlsx" TargetMode="External"/><Relationship Id="rId47" Type="http://schemas.openxmlformats.org/officeDocument/2006/relationships/hyperlink" Target="GhostMan%20-%20Reporte%20de%20Casos%20de%20Prueba%20y%20Ejecuci&#243;n%20-%20Entrega%201.xlsx" TargetMode="External"/><Relationship Id="rId48" Type="http://schemas.openxmlformats.org/officeDocument/2006/relationships/hyperlink" Target="GhostMan%20-%20Reporte%20de%20Casos%20de%20Prueba%20y%20Ejecuci&#243;n%20-%20Entrega%201.xlsx" TargetMode="External"/><Relationship Id="rId49" Type="http://schemas.openxmlformats.org/officeDocument/2006/relationships/hyperlink" Target="GhostMan%20-%20Reporte%20de%20Casos%20de%20Prueba%20y%20Ejecuci&#243;n%20-%20Entrega%201.xlsx" TargetMode="External"/><Relationship Id="rId50" Type="http://schemas.openxmlformats.org/officeDocument/2006/relationships/hyperlink" Target="GhostMan%20-%20Reporte%20de%20Casos%20de%20Prueba%20y%20Ejecuci&#243;n%20-%20Entrega%201.xlsx" TargetMode="External"/><Relationship Id="rId51" Type="http://schemas.openxmlformats.org/officeDocument/2006/relationships/hyperlink" Target="GhostMan%20-%20Reporte%20de%20Casos%20de%20Prueba%20y%20Ejecuci&#243;n%20-%20Entrega%201.xlsx" TargetMode="External"/><Relationship Id="rId52" Type="http://schemas.openxmlformats.org/officeDocument/2006/relationships/hyperlink" Target="GhostMan%20-%20Reporte%20de%20Casos%20de%20Prueba%20y%20Ejecuci&#243;n%20-%20Entrega%201.xlsx" TargetMode="External"/><Relationship Id="rId53" Type="http://schemas.openxmlformats.org/officeDocument/2006/relationships/hyperlink" Target="GhostMan%20-%20Reporte%20de%20Casos%20de%20Prueba%20y%20Ejecuci&#243;n%20-%20Entrega%201.xlsx" TargetMode="External"/><Relationship Id="rId54" Type="http://schemas.openxmlformats.org/officeDocument/2006/relationships/hyperlink" Target="GhostMan%20-%20Reporte%20de%20Casos%20de%20Prueba%20y%20Ejecuci&#243;n%20-%20Entrega%201.xlsx" TargetMode="External"/><Relationship Id="rId55" Type="http://schemas.openxmlformats.org/officeDocument/2006/relationships/hyperlink" Target="GhostMan%20-%20Reporte%20de%20Casos%20de%20Prueba%20y%20Ejecuci&#243;n%20-%20Entrega%201.xlsx" TargetMode="External"/><Relationship Id="rId56" Type="http://schemas.openxmlformats.org/officeDocument/2006/relationships/hyperlink" Target="GhostMan%20-%20Reporte%20de%20Casos%20de%20Prueba%20y%20Ejecuci&#243;n%20-%20Entrega%201.xlsx" TargetMode="External"/><Relationship Id="rId57" Type="http://schemas.openxmlformats.org/officeDocument/2006/relationships/hyperlink" Target="GhostMan%20-%20Reporte%20de%20Casos%20de%20Prueba%20y%20Ejecuci&#243;n%20-%20Entrega%201.xlsx" TargetMode="External"/><Relationship Id="rId58" Type="http://schemas.openxmlformats.org/officeDocument/2006/relationships/hyperlink" Target="GhostMan%20-%20Reporte%20de%20Casos%20de%20Prueba%20y%20Ejecuci&#243;n%20-%20Entrega%201.xlsx" TargetMode="External"/><Relationship Id="rId59" Type="http://schemas.openxmlformats.org/officeDocument/2006/relationships/hyperlink" Target="GhostMan%20-%20Reporte%20de%20Casos%20de%20Prueba%20y%20Ejecuci&#243;n%20-%20Entrega%201.xlsx" TargetMode="External"/><Relationship Id="rId60" Type="http://schemas.openxmlformats.org/officeDocument/2006/relationships/hyperlink" Target="GhostMan%20-%20Reporte%20de%20Casos%20de%20Prueba%20y%20Ejecuci&#243;n%20-%20Entrega%201.xlsx" TargetMode="External"/><Relationship Id="rId61" Type="http://schemas.openxmlformats.org/officeDocument/2006/relationships/hyperlink" Target="GhostMan%20-%20Reporte%20de%20Casos%20de%20Prueba%20y%20Ejecuci&#243;n%20-%20Entrega%201.xlsx" TargetMode="External"/><Relationship Id="rId62" Type="http://schemas.openxmlformats.org/officeDocument/2006/relationships/hyperlink" Target="GhostMan%20-%20Reporte%20de%20Casos%20de%20Prueba%20y%20Ejecuci&#243;n%20-%20Entrega%201.xlsx" TargetMode="External"/><Relationship Id="rId63" Type="http://schemas.openxmlformats.org/officeDocument/2006/relationships/hyperlink" Target="GhostMan%20-%20Reporte%20de%20Casos%20de%20Prueba%20y%20Ejecuci&#243;n%20-%20Entrega%201.xlsx" TargetMode="External"/><Relationship Id="rId64" Type="http://schemas.openxmlformats.org/officeDocument/2006/relationships/hyperlink" Target="GhostMan%20-%20Reporte%20de%20Casos%20de%20Prueba%20y%20Ejecuci&#243;n%20-%20Entrega%201.xlsx" TargetMode="External"/><Relationship Id="rId65" Type="http://schemas.openxmlformats.org/officeDocument/2006/relationships/hyperlink" Target="GhostMan%20-%20Reporte%20de%20Casos%20de%20Prueba%20y%20Ejecuci&#243;n%20-%20Entrega%201.xlsx" TargetMode="External"/><Relationship Id="rId66" Type="http://schemas.openxmlformats.org/officeDocument/2006/relationships/hyperlink" Target="GhostMan%20-%20Reporte%20de%20Casos%20de%20Prueba%20y%20Ejecuci&#243;n%20-%20Entrega%201.xlsx" TargetMode="External"/><Relationship Id="rId67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hyperlink" Target="GhostMan%20-%20Reporte%20de%20Casos%20de%20Prueba%20y%20Ejecuci&#243;n%20-%20Entrega%201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S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58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17"/>
    <col collapsed="false" customWidth="true" hidden="false" outlineLevel="0" max="10" min="9" style="0" width="12"/>
    <col collapsed="false" customWidth="true" hidden="false" outlineLevel="0" max="11" min="11" style="0" width="42"/>
    <col collapsed="false" customWidth="true" hidden="false" outlineLevel="0" max="12" min="12" style="0" width="3"/>
    <col collapsed="false" customWidth="true" hidden="false" outlineLevel="0" max="13" min="13" style="0" width="58"/>
    <col collapsed="false" customWidth="true" hidden="false" outlineLevel="0" max="14" min="14" style="0" width="12"/>
    <col collapsed="false" customWidth="true" hidden="false" outlineLevel="0" max="18" min="15" style="0" width="11"/>
    <col collapsed="false" customWidth="true" hidden="false" outlineLevel="0" max="19" min="19" style="0" width="13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M3" s="4" t="s">
        <v>13</v>
      </c>
      <c r="N3" s="4"/>
    </row>
    <row r="4" customFormat="false" ht="15.75" hidden="false" customHeight="true" outlineLevel="0" collapsed="false">
      <c r="A4" s="5" t="s">
        <v>14</v>
      </c>
      <c r="B4" s="6" t="s">
        <v>15</v>
      </c>
      <c r="C4" s="7" t="s">
        <v>16</v>
      </c>
      <c r="D4" s="8" t="s">
        <v>17</v>
      </c>
      <c r="E4" s="6" t="s">
        <v>18</v>
      </c>
      <c r="F4" s="6" t="s">
        <v>19</v>
      </c>
      <c r="G4" s="9"/>
      <c r="H4" s="9"/>
      <c r="I4" s="10"/>
      <c r="J4" s="9"/>
      <c r="K4" s="9"/>
      <c r="M4" s="11" t="s">
        <v>20</v>
      </c>
      <c r="N4" s="8" t="s">
        <v>21</v>
      </c>
      <c r="O4" s="8"/>
      <c r="P4" s="8"/>
    </row>
    <row r="5" customFormat="false" ht="15.75" hidden="false" customHeight="true" outlineLevel="0" collapsed="false">
      <c r="A5" s="5" t="s">
        <v>22</v>
      </c>
      <c r="B5" s="6" t="s">
        <v>15</v>
      </c>
      <c r="C5" s="7" t="s">
        <v>16</v>
      </c>
      <c r="D5" s="8" t="s">
        <v>23</v>
      </c>
      <c r="E5" s="6" t="s">
        <v>18</v>
      </c>
      <c r="F5" s="6" t="s">
        <v>19</v>
      </c>
      <c r="G5" s="9"/>
      <c r="H5" s="9"/>
      <c r="I5" s="10"/>
      <c r="J5" s="9"/>
      <c r="K5" s="9"/>
      <c r="M5" s="11" t="s">
        <v>24</v>
      </c>
      <c r="N5" s="8" t="s">
        <v>25</v>
      </c>
      <c r="O5" s="8"/>
      <c r="P5" s="8"/>
    </row>
    <row r="6" customFormat="false" ht="15.75" hidden="false" customHeight="true" outlineLevel="0" collapsed="false">
      <c r="A6" s="5" t="s">
        <v>26</v>
      </c>
      <c r="B6" s="6" t="s">
        <v>15</v>
      </c>
      <c r="C6" s="7" t="s">
        <v>16</v>
      </c>
      <c r="D6" s="8" t="s">
        <v>27</v>
      </c>
      <c r="E6" s="6" t="s">
        <v>18</v>
      </c>
      <c r="F6" s="6" t="s">
        <v>19</v>
      </c>
      <c r="G6" s="9"/>
      <c r="H6" s="9"/>
      <c r="I6" s="10"/>
      <c r="J6" s="9"/>
      <c r="K6" s="9"/>
      <c r="M6" s="11" t="s">
        <v>28</v>
      </c>
      <c r="N6" s="9"/>
      <c r="O6" s="9"/>
      <c r="P6" s="9"/>
    </row>
    <row r="7" customFormat="false" ht="15.75" hidden="false" customHeight="true" outlineLevel="0" collapsed="false">
      <c r="A7" s="5" t="s">
        <v>29</v>
      </c>
      <c r="B7" s="6" t="s">
        <v>15</v>
      </c>
      <c r="C7" s="7" t="s">
        <v>30</v>
      </c>
      <c r="D7" s="8" t="s">
        <v>31</v>
      </c>
      <c r="E7" s="6" t="s">
        <v>18</v>
      </c>
      <c r="F7" s="6" t="s">
        <v>32</v>
      </c>
      <c r="G7" s="9"/>
      <c r="H7" s="9"/>
      <c r="I7" s="10"/>
      <c r="J7" s="9"/>
      <c r="K7" s="9"/>
      <c r="M7" s="11" t="s">
        <v>33</v>
      </c>
      <c r="N7" s="9"/>
      <c r="O7" s="9"/>
      <c r="P7" s="9"/>
    </row>
    <row r="8" customFormat="false" ht="15.75" hidden="false" customHeight="true" outlineLevel="0" collapsed="false">
      <c r="A8" s="5" t="s">
        <v>34</v>
      </c>
      <c r="B8" s="6" t="s">
        <v>15</v>
      </c>
      <c r="C8" s="7" t="s">
        <v>16</v>
      </c>
      <c r="D8" s="8" t="s">
        <v>35</v>
      </c>
      <c r="E8" s="6" t="s">
        <v>18</v>
      </c>
      <c r="F8" s="6" t="s">
        <v>32</v>
      </c>
      <c r="G8" s="9"/>
      <c r="H8" s="9"/>
      <c r="I8" s="10"/>
      <c r="J8" s="9"/>
      <c r="K8" s="9"/>
      <c r="M8" s="11" t="s">
        <v>36</v>
      </c>
      <c r="N8" s="9"/>
      <c r="O8" s="9"/>
      <c r="P8" s="9"/>
    </row>
    <row r="9" customFormat="false" ht="15.75" hidden="false" customHeight="true" outlineLevel="0" collapsed="false">
      <c r="A9" s="5" t="s">
        <v>37</v>
      </c>
      <c r="B9" s="6" t="s">
        <v>15</v>
      </c>
      <c r="C9" s="7" t="s">
        <v>30</v>
      </c>
      <c r="D9" s="8" t="s">
        <v>38</v>
      </c>
      <c r="E9" s="6" t="s">
        <v>18</v>
      </c>
      <c r="F9" s="6" t="s">
        <v>32</v>
      </c>
      <c r="G9" s="9"/>
      <c r="H9" s="9"/>
      <c r="I9" s="10"/>
      <c r="J9" s="9"/>
      <c r="K9" s="9"/>
      <c r="M9" s="11" t="s">
        <v>39</v>
      </c>
      <c r="N9" s="10"/>
      <c r="O9" s="10"/>
      <c r="P9" s="10"/>
    </row>
    <row r="10" customFormat="false" ht="15.75" hidden="false" customHeight="true" outlineLevel="0" collapsed="false">
      <c r="A10" s="5" t="s">
        <v>40</v>
      </c>
      <c r="B10" s="6" t="s">
        <v>15</v>
      </c>
      <c r="C10" s="7" t="s">
        <v>16</v>
      </c>
      <c r="D10" s="8" t="s">
        <v>41</v>
      </c>
      <c r="E10" s="6" t="s">
        <v>42</v>
      </c>
      <c r="F10" s="6" t="s">
        <v>32</v>
      </c>
      <c r="G10" s="9"/>
      <c r="H10" s="9"/>
      <c r="I10" s="10"/>
      <c r="J10" s="9"/>
      <c r="K10" s="9"/>
      <c r="M10" s="11" t="s">
        <v>43</v>
      </c>
      <c r="N10" s="10"/>
      <c r="O10" s="10"/>
      <c r="P10" s="10"/>
    </row>
    <row r="11" customFormat="false" ht="15.75" hidden="false" customHeight="true" outlineLevel="0" collapsed="false">
      <c r="A11" s="5" t="s">
        <v>44</v>
      </c>
      <c r="B11" s="6" t="s">
        <v>15</v>
      </c>
      <c r="C11" s="7" t="s">
        <v>16</v>
      </c>
      <c r="D11" s="8" t="s">
        <v>45</v>
      </c>
      <c r="E11" s="6" t="s">
        <v>42</v>
      </c>
      <c r="F11" s="6" t="s">
        <v>32</v>
      </c>
      <c r="G11" s="9"/>
      <c r="H11" s="9"/>
      <c r="I11" s="10"/>
      <c r="J11" s="9"/>
      <c r="K11" s="9"/>
      <c r="M11" s="11" t="s">
        <v>46</v>
      </c>
      <c r="N11" s="8" t="s">
        <v>47</v>
      </c>
      <c r="O11" s="8"/>
      <c r="P11" s="8"/>
    </row>
    <row r="12" customFormat="false" ht="15.75" hidden="false" customHeight="true" outlineLevel="0" collapsed="false">
      <c r="A12" s="5" t="s">
        <v>48</v>
      </c>
      <c r="B12" s="6" t="s">
        <v>15</v>
      </c>
      <c r="C12" s="7" t="s">
        <v>16</v>
      </c>
      <c r="D12" s="8" t="s">
        <v>49</v>
      </c>
      <c r="E12" s="6" t="s">
        <v>42</v>
      </c>
      <c r="F12" s="6" t="s">
        <v>32</v>
      </c>
      <c r="G12" s="9"/>
      <c r="H12" s="9"/>
      <c r="I12" s="10"/>
      <c r="J12" s="9"/>
      <c r="K12" s="9"/>
    </row>
    <row r="13" customFormat="false" ht="15.75" hidden="false" customHeight="true" outlineLevel="0" collapsed="false">
      <c r="A13" s="5" t="s">
        <v>50</v>
      </c>
      <c r="B13" s="6" t="s">
        <v>15</v>
      </c>
      <c r="C13" s="7" t="s">
        <v>30</v>
      </c>
      <c r="D13" s="8" t="s">
        <v>51</v>
      </c>
      <c r="E13" s="6" t="s">
        <v>42</v>
      </c>
      <c r="F13" s="6" t="s">
        <v>32</v>
      </c>
      <c r="G13" s="9"/>
      <c r="H13" s="9"/>
      <c r="I13" s="10"/>
      <c r="J13" s="9"/>
      <c r="K13" s="9"/>
      <c r="M13" s="4" t="s">
        <v>52</v>
      </c>
      <c r="N13" s="4"/>
    </row>
    <row r="14" customFormat="false" ht="15.75" hidden="false" customHeight="true" outlineLevel="0" collapsed="false">
      <c r="A14" s="5" t="s">
        <v>53</v>
      </c>
      <c r="B14" s="6" t="s">
        <v>15</v>
      </c>
      <c r="C14" s="7" t="s">
        <v>16</v>
      </c>
      <c r="D14" s="8" t="s">
        <v>54</v>
      </c>
      <c r="E14" s="6" t="s">
        <v>55</v>
      </c>
      <c r="F14" s="6" t="s">
        <v>19</v>
      </c>
      <c r="G14" s="9"/>
      <c r="H14" s="9"/>
      <c r="I14" s="10"/>
      <c r="J14" s="9"/>
      <c r="K14" s="9"/>
      <c r="M14" s="11" t="s">
        <v>56</v>
      </c>
      <c r="N14" s="12" t="n">
        <f aca="false">COUNTA($A$4:$A$69)</f>
        <v>66</v>
      </c>
    </row>
    <row r="15" customFormat="false" ht="15.75" hidden="false" customHeight="true" outlineLevel="0" collapsed="false">
      <c r="A15" s="5" t="s">
        <v>57</v>
      </c>
      <c r="B15" s="6" t="s">
        <v>15</v>
      </c>
      <c r="C15" s="7" t="s">
        <v>16</v>
      </c>
      <c r="D15" s="8" t="s">
        <v>58</v>
      </c>
      <c r="E15" s="6" t="s">
        <v>55</v>
      </c>
      <c r="F15" s="6" t="s">
        <v>32</v>
      </c>
      <c r="G15" s="9"/>
      <c r="H15" s="9"/>
      <c r="I15" s="10"/>
      <c r="J15" s="9"/>
      <c r="K15" s="9"/>
      <c r="M15" s="11" t="s">
        <v>59</v>
      </c>
      <c r="N15" s="12" t="n">
        <f aca="false">COUNTIF($G$4:$G$69,"Aprobado")+COUNTIF($G$4:$G$69,"Fallido")</f>
        <v>0</v>
      </c>
    </row>
    <row r="16" customFormat="false" ht="15.75" hidden="false" customHeight="true" outlineLevel="0" collapsed="false">
      <c r="A16" s="5" t="s">
        <v>60</v>
      </c>
      <c r="B16" s="6" t="s">
        <v>15</v>
      </c>
      <c r="C16" s="7" t="s">
        <v>30</v>
      </c>
      <c r="D16" s="8" t="s">
        <v>61</v>
      </c>
      <c r="E16" s="6" t="s">
        <v>55</v>
      </c>
      <c r="F16" s="6" t="s">
        <v>32</v>
      </c>
      <c r="G16" s="9"/>
      <c r="H16" s="9"/>
      <c r="I16" s="10"/>
      <c r="J16" s="9"/>
      <c r="K16" s="9"/>
      <c r="M16" s="11" t="s">
        <v>62</v>
      </c>
      <c r="N16" s="12" t="n">
        <f aca="false">COUNTIF($G$4:$G$69,"Aprobado")</f>
        <v>0</v>
      </c>
    </row>
    <row r="17" customFormat="false" ht="15.75" hidden="false" customHeight="true" outlineLevel="0" collapsed="false">
      <c r="A17" s="5" t="s">
        <v>63</v>
      </c>
      <c r="B17" s="6" t="s">
        <v>15</v>
      </c>
      <c r="C17" s="7" t="s">
        <v>16</v>
      </c>
      <c r="D17" s="8" t="s">
        <v>64</v>
      </c>
      <c r="E17" s="6" t="s">
        <v>65</v>
      </c>
      <c r="F17" s="6" t="s">
        <v>19</v>
      </c>
      <c r="G17" s="9"/>
      <c r="H17" s="9"/>
      <c r="I17" s="10"/>
      <c r="J17" s="9"/>
      <c r="K17" s="9"/>
      <c r="M17" s="11" t="s">
        <v>66</v>
      </c>
      <c r="N17" s="12" t="n">
        <f aca="false">COUNTIF($G$4:$G$69,"Fallido")</f>
        <v>0</v>
      </c>
    </row>
    <row r="18" customFormat="false" ht="15.75" hidden="false" customHeight="true" outlineLevel="0" collapsed="false">
      <c r="A18" s="5" t="s">
        <v>67</v>
      </c>
      <c r="B18" s="6" t="s">
        <v>15</v>
      </c>
      <c r="C18" s="7" t="s">
        <v>16</v>
      </c>
      <c r="D18" s="8" t="s">
        <v>68</v>
      </c>
      <c r="E18" s="6" t="s">
        <v>65</v>
      </c>
      <c r="F18" s="6" t="s">
        <v>32</v>
      </c>
      <c r="G18" s="9"/>
      <c r="H18" s="9"/>
      <c r="I18" s="10"/>
      <c r="J18" s="9"/>
      <c r="K18" s="9"/>
      <c r="M18" s="11" t="s">
        <v>69</v>
      </c>
      <c r="N18" s="12" t="n">
        <f aca="false">COUNTIF($G$4:$G$69,"Bloqueado")</f>
        <v>0</v>
      </c>
    </row>
    <row r="19" customFormat="false" ht="15.75" hidden="false" customHeight="true" outlineLevel="0" collapsed="false">
      <c r="A19" s="5" t="s">
        <v>70</v>
      </c>
      <c r="B19" s="6" t="s">
        <v>15</v>
      </c>
      <c r="C19" s="7" t="s">
        <v>16</v>
      </c>
      <c r="D19" s="8" t="s">
        <v>71</v>
      </c>
      <c r="E19" s="6" t="s">
        <v>65</v>
      </c>
      <c r="F19" s="6" t="s">
        <v>19</v>
      </c>
      <c r="G19" s="9"/>
      <c r="H19" s="9"/>
      <c r="I19" s="10"/>
      <c r="J19" s="9"/>
      <c r="K19" s="9"/>
      <c r="M19" s="11" t="s">
        <v>72</v>
      </c>
      <c r="N19" s="12" t="n">
        <f aca="false">COUNTIF($G$4:$G$69,"No ejecutado")+COUNTBLANK($G$4:$G$69)</f>
        <v>66</v>
      </c>
    </row>
    <row r="20" customFormat="false" ht="15.75" hidden="false" customHeight="true" outlineLevel="0" collapsed="false">
      <c r="A20" s="5" t="s">
        <v>73</v>
      </c>
      <c r="B20" s="6" t="s">
        <v>15</v>
      </c>
      <c r="C20" s="7" t="s">
        <v>16</v>
      </c>
      <c r="D20" s="8" t="s">
        <v>74</v>
      </c>
      <c r="E20" s="6" t="s">
        <v>65</v>
      </c>
      <c r="F20" s="6" t="s">
        <v>19</v>
      </c>
      <c r="G20" s="9"/>
      <c r="H20" s="9"/>
      <c r="I20" s="10"/>
      <c r="J20" s="9"/>
      <c r="K20" s="9"/>
      <c r="M20" s="11" t="s">
        <v>75</v>
      </c>
      <c r="N20" s="12" t="n">
        <f aca="false">COUNTIF($G$4:$G$69,"No aplica")</f>
        <v>0</v>
      </c>
    </row>
    <row r="21" customFormat="false" ht="15.75" hidden="false" customHeight="true" outlineLevel="0" collapsed="false">
      <c r="A21" s="5" t="s">
        <v>76</v>
      </c>
      <c r="B21" s="6" t="s">
        <v>77</v>
      </c>
      <c r="C21" s="7" t="s">
        <v>16</v>
      </c>
      <c r="D21" s="8" t="s">
        <v>78</v>
      </c>
      <c r="E21" s="6" t="s">
        <v>79</v>
      </c>
      <c r="F21" s="6" t="s">
        <v>19</v>
      </c>
      <c r="G21" s="9"/>
      <c r="H21" s="9"/>
      <c r="I21" s="10"/>
      <c r="J21" s="9"/>
      <c r="K21" s="9"/>
    </row>
    <row r="22" customFormat="false" ht="15.75" hidden="false" customHeight="true" outlineLevel="0" collapsed="false">
      <c r="A22" s="5" t="s">
        <v>80</v>
      </c>
      <c r="B22" s="6" t="s">
        <v>77</v>
      </c>
      <c r="C22" s="7" t="s">
        <v>16</v>
      </c>
      <c r="D22" s="8" t="s">
        <v>81</v>
      </c>
      <c r="E22" s="6" t="s">
        <v>79</v>
      </c>
      <c r="F22" s="6" t="s">
        <v>32</v>
      </c>
      <c r="G22" s="9"/>
      <c r="H22" s="9"/>
      <c r="I22" s="10"/>
      <c r="J22" s="9"/>
      <c r="K22" s="9"/>
      <c r="M22" s="4" t="s">
        <v>82</v>
      </c>
      <c r="N22" s="4"/>
    </row>
    <row r="23" customFormat="false" ht="15.75" hidden="false" customHeight="true" outlineLevel="0" collapsed="false">
      <c r="A23" s="5" t="s">
        <v>83</v>
      </c>
      <c r="B23" s="6" t="s">
        <v>77</v>
      </c>
      <c r="C23" s="7" t="s">
        <v>16</v>
      </c>
      <c r="D23" s="8" t="s">
        <v>84</v>
      </c>
      <c r="E23" s="6" t="s">
        <v>79</v>
      </c>
      <c r="F23" s="6" t="s">
        <v>32</v>
      </c>
      <c r="G23" s="9"/>
      <c r="H23" s="9"/>
      <c r="I23" s="10"/>
      <c r="J23" s="9"/>
      <c r="K23" s="9"/>
      <c r="M23" s="11" t="s">
        <v>85</v>
      </c>
      <c r="N23" s="13" t="n">
        <f aca="false">IFERROR($N$15/$N$14,0)</f>
        <v>0</v>
      </c>
    </row>
    <row r="24" customFormat="false" ht="15.75" hidden="false" customHeight="true" outlineLevel="0" collapsed="false">
      <c r="A24" s="5" t="s">
        <v>86</v>
      </c>
      <c r="B24" s="6" t="s">
        <v>77</v>
      </c>
      <c r="C24" s="7" t="s">
        <v>30</v>
      </c>
      <c r="D24" s="8" t="s">
        <v>87</v>
      </c>
      <c r="E24" s="6" t="s">
        <v>79</v>
      </c>
      <c r="F24" s="6" t="s">
        <v>32</v>
      </c>
      <c r="G24" s="9"/>
      <c r="H24" s="9"/>
      <c r="I24" s="10"/>
      <c r="J24" s="9"/>
      <c r="K24" s="9"/>
      <c r="M24" s="11" t="s">
        <v>88</v>
      </c>
      <c r="N24" s="13" t="n">
        <f aca="false">IFERROR($N$16/$N$15,0)</f>
        <v>0</v>
      </c>
    </row>
    <row r="25" customFormat="false" ht="29.25" hidden="false" customHeight="true" outlineLevel="0" collapsed="false">
      <c r="A25" s="5" t="s">
        <v>89</v>
      </c>
      <c r="B25" s="6" t="s">
        <v>77</v>
      </c>
      <c r="C25" s="7" t="s">
        <v>30</v>
      </c>
      <c r="D25" s="8" t="s">
        <v>90</v>
      </c>
      <c r="E25" s="6" t="s">
        <v>79</v>
      </c>
      <c r="F25" s="6" t="s">
        <v>32</v>
      </c>
      <c r="G25" s="9"/>
      <c r="H25" s="9"/>
      <c r="I25" s="10"/>
      <c r="J25" s="9"/>
      <c r="K25" s="9"/>
      <c r="M25" s="11" t="s">
        <v>91</v>
      </c>
      <c r="N25" s="13" t="n">
        <f aca="false">IFERROR($N$17/$N$15,0)</f>
        <v>0</v>
      </c>
    </row>
    <row r="26" customFormat="false" ht="15.75" hidden="false" customHeight="true" outlineLevel="0" collapsed="false">
      <c r="A26" s="5" t="s">
        <v>92</v>
      </c>
      <c r="B26" s="6" t="s">
        <v>77</v>
      </c>
      <c r="C26" s="7" t="s">
        <v>16</v>
      </c>
      <c r="D26" s="8" t="s">
        <v>93</v>
      </c>
      <c r="E26" s="6" t="s">
        <v>94</v>
      </c>
      <c r="F26" s="6" t="s">
        <v>19</v>
      </c>
      <c r="G26" s="9"/>
      <c r="H26" s="9"/>
      <c r="I26" s="10"/>
      <c r="J26" s="9"/>
      <c r="K26" s="9"/>
      <c r="M26" s="11" t="s">
        <v>95</v>
      </c>
      <c r="N26" s="13" t="n">
        <f aca="false">IFERROR((COUNTIFS($C$4:$C$69,"Alta",$G$4:$G$69,"Aprobado")+COUNTIFS($C$4:$C$69,"Alta",$G$4:$G$69,"Fallido"))/COUNTIF($C$4:$C$69,"Alta"),0)</f>
        <v>0</v>
      </c>
    </row>
    <row r="27" customFormat="false" ht="15.75" hidden="false" customHeight="true" outlineLevel="0" collapsed="false">
      <c r="A27" s="5" t="s">
        <v>96</v>
      </c>
      <c r="B27" s="6" t="s">
        <v>77</v>
      </c>
      <c r="C27" s="7" t="s">
        <v>16</v>
      </c>
      <c r="D27" s="8" t="s">
        <v>97</v>
      </c>
      <c r="E27" s="6" t="s">
        <v>94</v>
      </c>
      <c r="F27" s="6" t="s">
        <v>32</v>
      </c>
      <c r="G27" s="9"/>
      <c r="H27" s="9"/>
      <c r="I27" s="10"/>
      <c r="J27" s="9"/>
      <c r="K27" s="9"/>
      <c r="M27" s="11" t="s">
        <v>98</v>
      </c>
      <c r="N27" s="14" t="n">
        <f aca="false">IFERROR(COUNTA('Registro de defectos'!$A$5:$A$104)/$N$15,0)</f>
        <v>0</v>
      </c>
    </row>
    <row r="28" customFormat="false" ht="15.75" hidden="false" customHeight="true" outlineLevel="0" collapsed="false">
      <c r="A28" s="5" t="s">
        <v>99</v>
      </c>
      <c r="B28" s="6" t="s">
        <v>77</v>
      </c>
      <c r="C28" s="7" t="s">
        <v>16</v>
      </c>
      <c r="D28" s="8" t="s">
        <v>100</v>
      </c>
      <c r="E28" s="6" t="s">
        <v>94</v>
      </c>
      <c r="F28" s="6" t="s">
        <v>32</v>
      </c>
      <c r="G28" s="9"/>
      <c r="H28" s="9"/>
      <c r="I28" s="10"/>
      <c r="J28" s="9"/>
      <c r="K28" s="9"/>
    </row>
    <row r="29" customFormat="false" ht="15.75" hidden="false" customHeight="true" outlineLevel="0" collapsed="false">
      <c r="A29" s="5" t="s">
        <v>101</v>
      </c>
      <c r="B29" s="6" t="s">
        <v>77</v>
      </c>
      <c r="C29" s="7" t="s">
        <v>30</v>
      </c>
      <c r="D29" s="8" t="s">
        <v>102</v>
      </c>
      <c r="E29" s="6" t="s">
        <v>94</v>
      </c>
      <c r="F29" s="6" t="s">
        <v>32</v>
      </c>
      <c r="G29" s="9"/>
      <c r="H29" s="9"/>
      <c r="I29" s="10"/>
      <c r="J29" s="9"/>
      <c r="K29" s="9"/>
      <c r="M29" s="4" t="s">
        <v>103</v>
      </c>
      <c r="N29" s="4"/>
      <c r="O29" s="4"/>
      <c r="P29" s="4"/>
      <c r="Q29" s="4"/>
      <c r="R29" s="4"/>
      <c r="S29" s="4"/>
    </row>
    <row r="30" customFormat="false" ht="27.75" hidden="false" customHeight="true" outlineLevel="0" collapsed="false">
      <c r="A30" s="5" t="s">
        <v>104</v>
      </c>
      <c r="B30" s="6" t="s">
        <v>77</v>
      </c>
      <c r="C30" s="7" t="s">
        <v>30</v>
      </c>
      <c r="D30" s="8" t="s">
        <v>105</v>
      </c>
      <c r="E30" s="6" t="s">
        <v>94</v>
      </c>
      <c r="F30" s="6" t="s">
        <v>32</v>
      </c>
      <c r="G30" s="9"/>
      <c r="H30" s="9"/>
      <c r="I30" s="10"/>
      <c r="J30" s="9"/>
      <c r="K30" s="9"/>
      <c r="M30" s="15" t="s">
        <v>3</v>
      </c>
      <c r="N30" s="15" t="s">
        <v>106</v>
      </c>
      <c r="O30" s="15" t="s">
        <v>107</v>
      </c>
      <c r="P30" s="15" t="s">
        <v>108</v>
      </c>
      <c r="Q30" s="15" t="s">
        <v>109</v>
      </c>
      <c r="R30" s="15" t="s">
        <v>110</v>
      </c>
      <c r="S30" s="15" t="s">
        <v>111</v>
      </c>
    </row>
    <row r="31" customFormat="false" ht="15.75" hidden="false" customHeight="true" outlineLevel="0" collapsed="false">
      <c r="A31" s="5" t="s">
        <v>112</v>
      </c>
      <c r="B31" s="6" t="s">
        <v>77</v>
      </c>
      <c r="C31" s="7" t="s">
        <v>30</v>
      </c>
      <c r="D31" s="8" t="s">
        <v>113</v>
      </c>
      <c r="E31" s="6" t="s">
        <v>114</v>
      </c>
      <c r="F31" s="6" t="s">
        <v>32</v>
      </c>
      <c r="G31" s="9"/>
      <c r="H31" s="9"/>
      <c r="I31" s="10"/>
      <c r="J31" s="9"/>
      <c r="K31" s="9"/>
      <c r="M31" s="8" t="s">
        <v>115</v>
      </c>
      <c r="N31" s="12" t="n">
        <f aca="false">COUNTIF($B$4:$B$69,"E1")</f>
        <v>17</v>
      </c>
      <c r="O31" s="12" t="n">
        <f aca="false">COUNTIFS($B$4:$B$69,"E1",$G$4:$G$69,"Aprobado")+COUNTIFS($B$4:$B$69,"E1",$G$4:$G$69,"Fallido")</f>
        <v>0</v>
      </c>
      <c r="P31" s="12" t="n">
        <f aca="false">COUNTIFS($B$4:$B$69,"E1",$G$4:$G$69,"Aprobado")</f>
        <v>0</v>
      </c>
      <c r="Q31" s="12" t="n">
        <f aca="false">COUNTIFS($B$4:$B$69,"E1",$G$4:$G$69,"Fallido")</f>
        <v>0</v>
      </c>
      <c r="R31" s="12" t="n">
        <f aca="false">COUNTIFS($B$4:$B$69,"E1",$G$4:$G$69,"Bloqueado")</f>
        <v>0</v>
      </c>
      <c r="S31" s="13" t="n">
        <f aca="false">IFERROR(P31/O31,0)</f>
        <v>0</v>
      </c>
    </row>
    <row r="32" customFormat="false" ht="15.75" hidden="false" customHeight="true" outlineLevel="0" collapsed="false">
      <c r="A32" s="5" t="s">
        <v>116</v>
      </c>
      <c r="B32" s="6" t="s">
        <v>77</v>
      </c>
      <c r="C32" s="7" t="s">
        <v>30</v>
      </c>
      <c r="D32" s="8" t="s">
        <v>117</v>
      </c>
      <c r="E32" s="6" t="s">
        <v>114</v>
      </c>
      <c r="F32" s="6" t="s">
        <v>32</v>
      </c>
      <c r="G32" s="9"/>
      <c r="H32" s="9"/>
      <c r="I32" s="10"/>
      <c r="J32" s="9"/>
      <c r="K32" s="9"/>
      <c r="M32" s="8" t="s">
        <v>118</v>
      </c>
      <c r="N32" s="12" t="n">
        <f aca="false">COUNTIF($B$4:$B$69,"E2")</f>
        <v>16</v>
      </c>
      <c r="O32" s="12" t="n">
        <f aca="false">COUNTIFS($B$4:$B$69,"E2",$G$4:$G$69,"Aprobado")+COUNTIFS($B$4:$B$69,"E2",$G$4:$G$69,"Fallido")</f>
        <v>0</v>
      </c>
      <c r="P32" s="12" t="n">
        <f aca="false">COUNTIFS($B$4:$B$69,"E2",$G$4:$G$69,"Aprobado")</f>
        <v>0</v>
      </c>
      <c r="Q32" s="12" t="n">
        <f aca="false">COUNTIFS($B$4:$B$69,"E2",$G$4:$G$69,"Fallido")</f>
        <v>0</v>
      </c>
      <c r="R32" s="12" t="n">
        <f aca="false">COUNTIFS($B$4:$B$69,"E2",$G$4:$G$69,"Bloqueado")</f>
        <v>0</v>
      </c>
      <c r="S32" s="13" t="n">
        <f aca="false">IFERROR(P32/O32,0)</f>
        <v>0</v>
      </c>
    </row>
    <row r="33" customFormat="false" ht="15.75" hidden="false" customHeight="true" outlineLevel="0" collapsed="false">
      <c r="A33" s="5" t="s">
        <v>119</v>
      </c>
      <c r="B33" s="6" t="s">
        <v>77</v>
      </c>
      <c r="C33" s="7" t="s">
        <v>16</v>
      </c>
      <c r="D33" s="8" t="s">
        <v>120</v>
      </c>
      <c r="E33" s="6" t="s">
        <v>121</v>
      </c>
      <c r="F33" s="6" t="s">
        <v>19</v>
      </c>
      <c r="G33" s="9"/>
      <c r="H33" s="9"/>
      <c r="I33" s="10"/>
      <c r="J33" s="9"/>
      <c r="K33" s="9"/>
      <c r="M33" s="8" t="s">
        <v>122</v>
      </c>
      <c r="N33" s="12" t="n">
        <f aca="false">COUNTIF($B$4:$B$69,"E3")</f>
        <v>13</v>
      </c>
      <c r="O33" s="12" t="n">
        <f aca="false">COUNTIFS($B$4:$B$69,"E3",$G$4:$G$69,"Aprobado")+COUNTIFS($B$4:$B$69,"E3",$G$4:$G$69,"Fallido")</f>
        <v>0</v>
      </c>
      <c r="P33" s="12" t="n">
        <f aca="false">COUNTIFS($B$4:$B$69,"E3",$G$4:$G$69,"Aprobado")</f>
        <v>0</v>
      </c>
      <c r="Q33" s="12" t="n">
        <f aca="false">COUNTIFS($B$4:$B$69,"E3",$G$4:$G$69,"Fallido")</f>
        <v>0</v>
      </c>
      <c r="R33" s="12" t="n">
        <f aca="false">COUNTIFS($B$4:$B$69,"E3",$G$4:$G$69,"Bloqueado")</f>
        <v>0</v>
      </c>
      <c r="S33" s="13" t="n">
        <f aca="false">IFERROR(P33/O33,0)</f>
        <v>0</v>
      </c>
    </row>
    <row r="34" customFormat="false" ht="15.75" hidden="false" customHeight="true" outlineLevel="0" collapsed="false">
      <c r="A34" s="5" t="s">
        <v>123</v>
      </c>
      <c r="B34" s="6" t="s">
        <v>77</v>
      </c>
      <c r="C34" s="7" t="s">
        <v>16</v>
      </c>
      <c r="D34" s="8" t="s">
        <v>124</v>
      </c>
      <c r="E34" s="6" t="s">
        <v>121</v>
      </c>
      <c r="F34" s="6" t="s">
        <v>32</v>
      </c>
      <c r="G34" s="9"/>
      <c r="H34" s="9"/>
      <c r="I34" s="10"/>
      <c r="J34" s="9"/>
      <c r="K34" s="9"/>
      <c r="M34" s="8" t="s">
        <v>125</v>
      </c>
      <c r="N34" s="12" t="n">
        <f aca="false">COUNTIF($B$4:$B$69,"E4")</f>
        <v>16</v>
      </c>
      <c r="O34" s="12" t="n">
        <f aca="false">COUNTIFS($B$4:$B$69,"E4",$G$4:$G$69,"Aprobado")+COUNTIFS($B$4:$B$69,"E4",$G$4:$G$69,"Fallido")</f>
        <v>0</v>
      </c>
      <c r="P34" s="12" t="n">
        <f aca="false">COUNTIFS($B$4:$B$69,"E4",$G$4:$G$69,"Aprobado")</f>
        <v>0</v>
      </c>
      <c r="Q34" s="12" t="n">
        <f aca="false">COUNTIFS($B$4:$B$69,"E4",$G$4:$G$69,"Fallido")</f>
        <v>0</v>
      </c>
      <c r="R34" s="12" t="n">
        <f aca="false">COUNTIFS($B$4:$B$69,"E4",$G$4:$G$69,"Bloqueado")</f>
        <v>0</v>
      </c>
      <c r="S34" s="13" t="n">
        <f aca="false">IFERROR(P34/O34,0)</f>
        <v>0</v>
      </c>
    </row>
    <row r="35" customFormat="false" ht="15.75" hidden="false" customHeight="true" outlineLevel="0" collapsed="false">
      <c r="A35" s="5" t="s">
        <v>126</v>
      </c>
      <c r="B35" s="6" t="s">
        <v>77</v>
      </c>
      <c r="C35" s="7" t="s">
        <v>30</v>
      </c>
      <c r="D35" s="8" t="s">
        <v>127</v>
      </c>
      <c r="E35" s="6" t="s">
        <v>121</v>
      </c>
      <c r="F35" s="6" t="s">
        <v>32</v>
      </c>
      <c r="G35" s="9"/>
      <c r="H35" s="9"/>
      <c r="I35" s="10"/>
      <c r="J35" s="9"/>
      <c r="K35" s="9"/>
      <c r="M35" s="8" t="s">
        <v>128</v>
      </c>
      <c r="N35" s="12" t="n">
        <f aca="false">COUNTIF($B$4:$B$69,"E5")</f>
        <v>4</v>
      </c>
      <c r="O35" s="12" t="n">
        <f aca="false">COUNTIFS($B$4:$B$69,"E5",$G$4:$G$69,"Aprobado")+COUNTIFS($B$4:$B$69,"E5",$G$4:$G$69,"Fallido")</f>
        <v>0</v>
      </c>
      <c r="P35" s="12" t="n">
        <f aca="false">COUNTIFS($B$4:$B$69,"E5",$G$4:$G$69,"Aprobado")</f>
        <v>0</v>
      </c>
      <c r="Q35" s="12" t="n">
        <f aca="false">COUNTIFS($B$4:$B$69,"E5",$G$4:$G$69,"Fallido")</f>
        <v>0</v>
      </c>
      <c r="R35" s="12" t="n">
        <f aca="false">COUNTIFS($B$4:$B$69,"E5",$G$4:$G$69,"Bloqueado")</f>
        <v>0</v>
      </c>
      <c r="S35" s="13" t="n">
        <f aca="false">IFERROR(P35/O35,0)</f>
        <v>0</v>
      </c>
    </row>
    <row r="36" customFormat="false" ht="15.75" hidden="false" customHeight="true" outlineLevel="0" collapsed="false">
      <c r="A36" s="5" t="s">
        <v>129</v>
      </c>
      <c r="B36" s="6" t="s">
        <v>77</v>
      </c>
      <c r="C36" s="7" t="s">
        <v>16</v>
      </c>
      <c r="D36" s="8" t="s">
        <v>130</v>
      </c>
      <c r="E36" s="6" t="s">
        <v>121</v>
      </c>
      <c r="F36" s="6" t="s">
        <v>32</v>
      </c>
      <c r="G36" s="9"/>
      <c r="H36" s="9"/>
      <c r="I36" s="10"/>
      <c r="J36" s="9"/>
      <c r="K36" s="9"/>
      <c r="M36" s="16" t="s">
        <v>131</v>
      </c>
      <c r="N36" s="17" t="n">
        <f aca="false">SUM(N31:N35)</f>
        <v>66</v>
      </c>
      <c r="O36" s="17" t="n">
        <f aca="false">SUM(O31:O35)</f>
        <v>0</v>
      </c>
      <c r="P36" s="17" t="n">
        <f aca="false">SUM(P31:P35)</f>
        <v>0</v>
      </c>
      <c r="Q36" s="17" t="n">
        <f aca="false">SUM(Q31:Q35)</f>
        <v>0</v>
      </c>
      <c r="R36" s="17" t="n">
        <f aca="false">SUM(R31:R35)</f>
        <v>0</v>
      </c>
      <c r="S36" s="18" t="n">
        <f aca="false">IFERROR(P36/O36,0)</f>
        <v>0</v>
      </c>
    </row>
    <row r="37" customFormat="false" ht="15.75" hidden="false" customHeight="true" outlineLevel="0" collapsed="false">
      <c r="A37" s="5" t="s">
        <v>132</v>
      </c>
      <c r="B37" s="6" t="s">
        <v>133</v>
      </c>
      <c r="C37" s="7" t="s">
        <v>30</v>
      </c>
      <c r="D37" s="8" t="s">
        <v>134</v>
      </c>
      <c r="E37" s="6" t="s">
        <v>135</v>
      </c>
      <c r="F37" s="6" t="s">
        <v>32</v>
      </c>
      <c r="G37" s="9"/>
      <c r="H37" s="9"/>
      <c r="I37" s="10"/>
      <c r="J37" s="9"/>
      <c r="K37" s="9"/>
    </row>
    <row r="38" customFormat="false" ht="15.75" hidden="false" customHeight="true" outlineLevel="0" collapsed="false">
      <c r="A38" s="5" t="s">
        <v>136</v>
      </c>
      <c r="B38" s="6" t="s">
        <v>133</v>
      </c>
      <c r="C38" s="7" t="s">
        <v>30</v>
      </c>
      <c r="D38" s="8" t="s">
        <v>137</v>
      </c>
      <c r="E38" s="6" t="s">
        <v>135</v>
      </c>
      <c r="F38" s="6" t="s">
        <v>32</v>
      </c>
      <c r="G38" s="9"/>
      <c r="H38" s="9"/>
      <c r="I38" s="10"/>
      <c r="J38" s="9"/>
      <c r="K38" s="9"/>
      <c r="M38" s="4" t="s">
        <v>138</v>
      </c>
      <c r="N38" s="4"/>
      <c r="O38" s="4"/>
      <c r="P38" s="4"/>
    </row>
    <row r="39" customFormat="false" ht="15.75" hidden="false" customHeight="true" outlineLevel="0" collapsed="false">
      <c r="A39" s="5" t="s">
        <v>139</v>
      </c>
      <c r="B39" s="6" t="s">
        <v>133</v>
      </c>
      <c r="C39" s="7" t="s">
        <v>16</v>
      </c>
      <c r="D39" s="8" t="s">
        <v>140</v>
      </c>
      <c r="E39" s="6" t="s">
        <v>141</v>
      </c>
      <c r="F39" s="6" t="s">
        <v>19</v>
      </c>
      <c r="G39" s="9"/>
      <c r="H39" s="9"/>
      <c r="I39" s="10"/>
      <c r="J39" s="9"/>
      <c r="K39" s="9"/>
      <c r="M39" s="11" t="s">
        <v>142</v>
      </c>
      <c r="N39" s="8" t="s">
        <v>143</v>
      </c>
      <c r="O39" s="8"/>
      <c r="P39" s="8"/>
    </row>
    <row r="40" customFormat="false" ht="15.75" hidden="false" customHeight="true" outlineLevel="0" collapsed="false">
      <c r="A40" s="5" t="s">
        <v>144</v>
      </c>
      <c r="B40" s="6" t="s">
        <v>133</v>
      </c>
      <c r="C40" s="7" t="s">
        <v>30</v>
      </c>
      <c r="D40" s="8" t="s">
        <v>145</v>
      </c>
      <c r="E40" s="6" t="s">
        <v>141</v>
      </c>
      <c r="F40" s="6" t="s">
        <v>32</v>
      </c>
      <c r="G40" s="9"/>
      <c r="H40" s="9"/>
      <c r="I40" s="10"/>
      <c r="J40" s="9"/>
      <c r="K40" s="9"/>
      <c r="M40" s="11" t="s">
        <v>146</v>
      </c>
      <c r="N40" s="8" t="s">
        <v>147</v>
      </c>
      <c r="O40" s="8"/>
      <c r="P40" s="8"/>
    </row>
    <row r="41" customFormat="false" ht="15.75" hidden="false" customHeight="true" outlineLevel="0" collapsed="false">
      <c r="A41" s="5" t="s">
        <v>148</v>
      </c>
      <c r="B41" s="6" t="s">
        <v>133</v>
      </c>
      <c r="C41" s="7" t="s">
        <v>30</v>
      </c>
      <c r="D41" s="8" t="s">
        <v>149</v>
      </c>
      <c r="E41" s="6" t="s">
        <v>150</v>
      </c>
      <c r="F41" s="6" t="s">
        <v>19</v>
      </c>
      <c r="G41" s="9"/>
      <c r="H41" s="9"/>
      <c r="I41" s="10"/>
      <c r="J41" s="9"/>
      <c r="K41" s="9"/>
      <c r="M41" s="11" t="s">
        <v>151</v>
      </c>
      <c r="N41" s="8" t="s">
        <v>47</v>
      </c>
      <c r="O41" s="8"/>
      <c r="P41" s="8"/>
    </row>
    <row r="42" customFormat="false" ht="15.75" hidden="false" customHeight="true" outlineLevel="0" collapsed="false">
      <c r="A42" s="5" t="s">
        <v>152</v>
      </c>
      <c r="B42" s="6" t="s">
        <v>133</v>
      </c>
      <c r="C42" s="7" t="s">
        <v>30</v>
      </c>
      <c r="D42" s="8" t="s">
        <v>153</v>
      </c>
      <c r="E42" s="6" t="s">
        <v>150</v>
      </c>
      <c r="F42" s="6" t="s">
        <v>32</v>
      </c>
      <c r="G42" s="9"/>
      <c r="H42" s="9"/>
      <c r="I42" s="10"/>
      <c r="J42" s="9"/>
      <c r="K42" s="9"/>
    </row>
    <row r="43" customFormat="false" ht="15.75" hidden="false" customHeight="true" outlineLevel="0" collapsed="false">
      <c r="A43" s="5" t="s">
        <v>154</v>
      </c>
      <c r="B43" s="6" t="s">
        <v>133</v>
      </c>
      <c r="C43" s="7" t="s">
        <v>30</v>
      </c>
      <c r="D43" s="8" t="s">
        <v>155</v>
      </c>
      <c r="E43" s="6" t="s">
        <v>156</v>
      </c>
      <c r="F43" s="6" t="s">
        <v>19</v>
      </c>
      <c r="G43" s="9"/>
      <c r="H43" s="9"/>
      <c r="I43" s="10"/>
      <c r="J43" s="9"/>
      <c r="K43" s="9"/>
    </row>
    <row r="44" customFormat="false" ht="15.75" hidden="false" customHeight="true" outlineLevel="0" collapsed="false">
      <c r="A44" s="5" t="s">
        <v>157</v>
      </c>
      <c r="B44" s="6" t="s">
        <v>133</v>
      </c>
      <c r="C44" s="7" t="s">
        <v>158</v>
      </c>
      <c r="D44" s="8" t="s">
        <v>159</v>
      </c>
      <c r="E44" s="6" t="s">
        <v>156</v>
      </c>
      <c r="F44" s="6" t="s">
        <v>32</v>
      </c>
      <c r="G44" s="9"/>
      <c r="H44" s="9"/>
      <c r="I44" s="10"/>
      <c r="J44" s="9"/>
      <c r="K44" s="9"/>
    </row>
    <row r="45" customFormat="false" ht="15.75" hidden="false" customHeight="true" outlineLevel="0" collapsed="false">
      <c r="A45" s="5" t="s">
        <v>160</v>
      </c>
      <c r="B45" s="6" t="s">
        <v>133</v>
      </c>
      <c r="C45" s="7" t="s">
        <v>30</v>
      </c>
      <c r="D45" s="8" t="s">
        <v>161</v>
      </c>
      <c r="E45" s="6" t="s">
        <v>162</v>
      </c>
      <c r="F45" s="6" t="s">
        <v>32</v>
      </c>
      <c r="G45" s="9"/>
      <c r="H45" s="9"/>
      <c r="I45" s="10"/>
      <c r="J45" s="9"/>
      <c r="K45" s="9"/>
    </row>
    <row r="46" customFormat="false" ht="15.75" hidden="false" customHeight="true" outlineLevel="0" collapsed="false">
      <c r="A46" s="5" t="s">
        <v>163</v>
      </c>
      <c r="B46" s="6" t="s">
        <v>133</v>
      </c>
      <c r="C46" s="7" t="s">
        <v>30</v>
      </c>
      <c r="D46" s="8" t="s">
        <v>164</v>
      </c>
      <c r="E46" s="6" t="s">
        <v>162</v>
      </c>
      <c r="F46" s="6" t="s">
        <v>32</v>
      </c>
      <c r="G46" s="9"/>
      <c r="H46" s="9"/>
      <c r="I46" s="10"/>
      <c r="J46" s="9"/>
      <c r="K46" s="9"/>
    </row>
    <row r="47" customFormat="false" ht="15.75" hidden="false" customHeight="true" outlineLevel="0" collapsed="false">
      <c r="A47" s="5" t="s">
        <v>165</v>
      </c>
      <c r="B47" s="6" t="s">
        <v>133</v>
      </c>
      <c r="C47" s="7" t="s">
        <v>30</v>
      </c>
      <c r="D47" s="8" t="s">
        <v>166</v>
      </c>
      <c r="E47" s="6" t="s">
        <v>162</v>
      </c>
      <c r="F47" s="6" t="s">
        <v>32</v>
      </c>
      <c r="G47" s="9"/>
      <c r="H47" s="9"/>
      <c r="I47" s="10"/>
      <c r="J47" s="9"/>
      <c r="K47" s="9"/>
    </row>
    <row r="48" customFormat="false" ht="15.75" hidden="false" customHeight="true" outlineLevel="0" collapsed="false">
      <c r="A48" s="5" t="s">
        <v>167</v>
      </c>
      <c r="B48" s="6" t="s">
        <v>133</v>
      </c>
      <c r="C48" s="7" t="s">
        <v>30</v>
      </c>
      <c r="D48" s="8" t="s">
        <v>168</v>
      </c>
      <c r="E48" s="6" t="s">
        <v>162</v>
      </c>
      <c r="F48" s="6" t="s">
        <v>32</v>
      </c>
      <c r="G48" s="9"/>
      <c r="H48" s="9"/>
      <c r="I48" s="10"/>
      <c r="J48" s="9"/>
      <c r="K48" s="9"/>
    </row>
    <row r="49" customFormat="false" ht="15.75" hidden="false" customHeight="true" outlineLevel="0" collapsed="false">
      <c r="A49" s="5" t="s">
        <v>169</v>
      </c>
      <c r="B49" s="6" t="s">
        <v>133</v>
      </c>
      <c r="C49" s="7" t="s">
        <v>158</v>
      </c>
      <c r="D49" s="8" t="s">
        <v>170</v>
      </c>
      <c r="E49" s="6" t="s">
        <v>171</v>
      </c>
      <c r="F49" s="6" t="s">
        <v>32</v>
      </c>
      <c r="G49" s="9"/>
      <c r="H49" s="9"/>
      <c r="I49" s="10"/>
      <c r="J49" s="9"/>
      <c r="K49" s="9"/>
    </row>
    <row r="50" customFormat="false" ht="15.75" hidden="false" customHeight="true" outlineLevel="0" collapsed="false">
      <c r="A50" s="5" t="s">
        <v>172</v>
      </c>
      <c r="B50" s="6" t="s">
        <v>173</v>
      </c>
      <c r="C50" s="7" t="s">
        <v>16</v>
      </c>
      <c r="D50" s="8" t="s">
        <v>174</v>
      </c>
      <c r="E50" s="6" t="s">
        <v>175</v>
      </c>
      <c r="F50" s="6" t="s">
        <v>19</v>
      </c>
      <c r="G50" s="9"/>
      <c r="H50" s="9"/>
      <c r="I50" s="10"/>
      <c r="J50" s="9"/>
      <c r="K50" s="9"/>
    </row>
    <row r="51" customFormat="false" ht="15.75" hidden="false" customHeight="true" outlineLevel="0" collapsed="false">
      <c r="A51" s="5" t="s">
        <v>176</v>
      </c>
      <c r="B51" s="6" t="s">
        <v>173</v>
      </c>
      <c r="C51" s="7" t="s">
        <v>30</v>
      </c>
      <c r="D51" s="8" t="s">
        <v>177</v>
      </c>
      <c r="E51" s="6" t="s">
        <v>175</v>
      </c>
      <c r="F51" s="6" t="s">
        <v>32</v>
      </c>
      <c r="G51" s="9"/>
      <c r="H51" s="9"/>
      <c r="I51" s="10"/>
      <c r="J51" s="9"/>
      <c r="K51" s="9"/>
    </row>
    <row r="52" customFormat="false" ht="15.75" hidden="false" customHeight="true" outlineLevel="0" collapsed="false">
      <c r="A52" s="5" t="s">
        <v>178</v>
      </c>
      <c r="B52" s="6" t="s">
        <v>173</v>
      </c>
      <c r="C52" s="7" t="s">
        <v>16</v>
      </c>
      <c r="D52" s="8" t="s">
        <v>179</v>
      </c>
      <c r="E52" s="6" t="s">
        <v>180</v>
      </c>
      <c r="F52" s="6" t="s">
        <v>32</v>
      </c>
      <c r="G52" s="9"/>
      <c r="H52" s="9"/>
      <c r="I52" s="10"/>
      <c r="J52" s="9"/>
      <c r="K52" s="9"/>
    </row>
    <row r="53" customFormat="false" ht="15.75" hidden="false" customHeight="true" outlineLevel="0" collapsed="false">
      <c r="A53" s="5" t="s">
        <v>181</v>
      </c>
      <c r="B53" s="6" t="s">
        <v>173</v>
      </c>
      <c r="C53" s="7" t="s">
        <v>16</v>
      </c>
      <c r="D53" s="8" t="s">
        <v>182</v>
      </c>
      <c r="E53" s="6" t="s">
        <v>180</v>
      </c>
      <c r="F53" s="6" t="s">
        <v>32</v>
      </c>
      <c r="G53" s="9"/>
      <c r="H53" s="9"/>
      <c r="I53" s="10"/>
      <c r="J53" s="9"/>
      <c r="K53" s="9"/>
    </row>
    <row r="54" customFormat="false" ht="15.75" hidden="false" customHeight="true" outlineLevel="0" collapsed="false">
      <c r="A54" s="5" t="s">
        <v>183</v>
      </c>
      <c r="B54" s="6" t="s">
        <v>173</v>
      </c>
      <c r="C54" s="7" t="s">
        <v>16</v>
      </c>
      <c r="D54" s="8" t="s">
        <v>184</v>
      </c>
      <c r="E54" s="6" t="s">
        <v>185</v>
      </c>
      <c r="F54" s="6" t="s">
        <v>32</v>
      </c>
      <c r="G54" s="9"/>
      <c r="H54" s="9"/>
      <c r="I54" s="10"/>
      <c r="J54" s="9"/>
      <c r="K54" s="9"/>
    </row>
    <row r="55" customFormat="false" ht="15.75" hidden="false" customHeight="true" outlineLevel="0" collapsed="false">
      <c r="A55" s="5" t="s">
        <v>186</v>
      </c>
      <c r="B55" s="6" t="s">
        <v>173</v>
      </c>
      <c r="C55" s="7" t="s">
        <v>16</v>
      </c>
      <c r="D55" s="8" t="s">
        <v>187</v>
      </c>
      <c r="E55" s="6" t="s">
        <v>185</v>
      </c>
      <c r="F55" s="6" t="s">
        <v>32</v>
      </c>
      <c r="G55" s="9"/>
      <c r="H55" s="9"/>
      <c r="I55" s="10"/>
      <c r="J55" s="9"/>
      <c r="K55" s="9"/>
    </row>
    <row r="56" customFormat="false" ht="15.75" hidden="false" customHeight="true" outlineLevel="0" collapsed="false">
      <c r="A56" s="5" t="s">
        <v>188</v>
      </c>
      <c r="B56" s="6" t="s">
        <v>173</v>
      </c>
      <c r="C56" s="7" t="s">
        <v>16</v>
      </c>
      <c r="D56" s="8" t="s">
        <v>189</v>
      </c>
      <c r="E56" s="6" t="s">
        <v>185</v>
      </c>
      <c r="F56" s="6" t="s">
        <v>32</v>
      </c>
      <c r="G56" s="9"/>
      <c r="H56" s="9"/>
      <c r="I56" s="10"/>
      <c r="J56" s="9"/>
      <c r="K56" s="9"/>
    </row>
    <row r="57" customFormat="false" ht="15.75" hidden="false" customHeight="true" outlineLevel="0" collapsed="false">
      <c r="A57" s="5" t="s">
        <v>190</v>
      </c>
      <c r="B57" s="6" t="s">
        <v>173</v>
      </c>
      <c r="C57" s="7" t="s">
        <v>30</v>
      </c>
      <c r="D57" s="8" t="s">
        <v>191</v>
      </c>
      <c r="E57" s="6" t="s">
        <v>185</v>
      </c>
      <c r="F57" s="6" t="s">
        <v>32</v>
      </c>
      <c r="G57" s="9"/>
      <c r="H57" s="9"/>
      <c r="I57" s="10"/>
      <c r="J57" s="9"/>
      <c r="K57" s="9"/>
    </row>
    <row r="58" customFormat="false" ht="15.75" hidden="false" customHeight="true" outlineLevel="0" collapsed="false">
      <c r="A58" s="5" t="s">
        <v>192</v>
      </c>
      <c r="B58" s="6" t="s">
        <v>173</v>
      </c>
      <c r="C58" s="7" t="s">
        <v>16</v>
      </c>
      <c r="D58" s="8" t="s">
        <v>193</v>
      </c>
      <c r="E58" s="6" t="s">
        <v>194</v>
      </c>
      <c r="F58" s="6" t="s">
        <v>32</v>
      </c>
      <c r="G58" s="9"/>
      <c r="H58" s="9"/>
      <c r="I58" s="10"/>
      <c r="J58" s="9"/>
      <c r="K58" s="9"/>
    </row>
    <row r="59" customFormat="false" ht="15.75" hidden="false" customHeight="true" outlineLevel="0" collapsed="false">
      <c r="A59" s="5" t="s">
        <v>195</v>
      </c>
      <c r="B59" s="6" t="s">
        <v>173</v>
      </c>
      <c r="C59" s="7" t="s">
        <v>30</v>
      </c>
      <c r="D59" s="8" t="s">
        <v>196</v>
      </c>
      <c r="E59" s="6" t="s">
        <v>194</v>
      </c>
      <c r="F59" s="6" t="s">
        <v>32</v>
      </c>
      <c r="G59" s="9"/>
      <c r="H59" s="9"/>
      <c r="I59" s="10"/>
      <c r="J59" s="9"/>
      <c r="K59" s="9"/>
    </row>
    <row r="60" customFormat="false" ht="15.75" hidden="false" customHeight="true" outlineLevel="0" collapsed="false">
      <c r="A60" s="5" t="s">
        <v>197</v>
      </c>
      <c r="B60" s="6" t="s">
        <v>173</v>
      </c>
      <c r="C60" s="7" t="s">
        <v>16</v>
      </c>
      <c r="D60" s="8" t="s">
        <v>198</v>
      </c>
      <c r="E60" s="6" t="s">
        <v>194</v>
      </c>
      <c r="F60" s="6" t="s">
        <v>32</v>
      </c>
      <c r="G60" s="9"/>
      <c r="H60" s="9"/>
      <c r="I60" s="10"/>
      <c r="J60" s="9"/>
      <c r="K60" s="9"/>
    </row>
    <row r="61" customFormat="false" ht="15.75" hidden="false" customHeight="true" outlineLevel="0" collapsed="false">
      <c r="A61" s="5" t="s">
        <v>199</v>
      </c>
      <c r="B61" s="6" t="s">
        <v>173</v>
      </c>
      <c r="C61" s="7" t="s">
        <v>30</v>
      </c>
      <c r="D61" s="8" t="s">
        <v>200</v>
      </c>
      <c r="E61" s="6" t="s">
        <v>194</v>
      </c>
      <c r="F61" s="6" t="s">
        <v>32</v>
      </c>
      <c r="G61" s="9"/>
      <c r="H61" s="9"/>
      <c r="I61" s="10"/>
      <c r="J61" s="9"/>
      <c r="K61" s="9"/>
    </row>
    <row r="62" customFormat="false" ht="15.75" hidden="false" customHeight="true" outlineLevel="0" collapsed="false">
      <c r="A62" s="5" t="s">
        <v>201</v>
      </c>
      <c r="B62" s="6" t="s">
        <v>173</v>
      </c>
      <c r="C62" s="7" t="s">
        <v>16</v>
      </c>
      <c r="D62" s="8" t="s">
        <v>202</v>
      </c>
      <c r="E62" s="6" t="s">
        <v>194</v>
      </c>
      <c r="F62" s="6" t="s">
        <v>32</v>
      </c>
      <c r="G62" s="9"/>
      <c r="H62" s="9"/>
      <c r="I62" s="10"/>
      <c r="J62" s="9"/>
      <c r="K62" s="9"/>
    </row>
    <row r="63" customFormat="false" ht="15.75" hidden="false" customHeight="true" outlineLevel="0" collapsed="false">
      <c r="A63" s="5" t="s">
        <v>203</v>
      </c>
      <c r="B63" s="6" t="s">
        <v>173</v>
      </c>
      <c r="C63" s="7" t="s">
        <v>16</v>
      </c>
      <c r="D63" s="8" t="s">
        <v>204</v>
      </c>
      <c r="E63" s="6" t="s">
        <v>205</v>
      </c>
      <c r="F63" s="6" t="s">
        <v>19</v>
      </c>
      <c r="G63" s="9"/>
      <c r="H63" s="9"/>
      <c r="I63" s="10"/>
      <c r="J63" s="9"/>
      <c r="K63" s="9"/>
    </row>
    <row r="64" customFormat="false" ht="15.75" hidden="false" customHeight="true" outlineLevel="0" collapsed="false">
      <c r="A64" s="5" t="s">
        <v>206</v>
      </c>
      <c r="B64" s="6" t="s">
        <v>173</v>
      </c>
      <c r="C64" s="7" t="s">
        <v>16</v>
      </c>
      <c r="D64" s="8" t="s">
        <v>207</v>
      </c>
      <c r="E64" s="6" t="s">
        <v>205</v>
      </c>
      <c r="F64" s="6" t="s">
        <v>19</v>
      </c>
      <c r="G64" s="9"/>
      <c r="H64" s="9"/>
      <c r="I64" s="10"/>
      <c r="J64" s="9"/>
      <c r="K64" s="9"/>
    </row>
    <row r="65" customFormat="false" ht="15.75" hidden="false" customHeight="true" outlineLevel="0" collapsed="false">
      <c r="A65" s="5" t="s">
        <v>208</v>
      </c>
      <c r="B65" s="6" t="s">
        <v>173</v>
      </c>
      <c r="C65" s="7" t="s">
        <v>16</v>
      </c>
      <c r="D65" s="8" t="s">
        <v>209</v>
      </c>
      <c r="E65" s="6" t="s">
        <v>205</v>
      </c>
      <c r="F65" s="6" t="s">
        <v>19</v>
      </c>
      <c r="G65" s="9"/>
      <c r="H65" s="9"/>
      <c r="I65" s="10"/>
      <c r="J65" s="9"/>
      <c r="K65" s="9"/>
    </row>
    <row r="66" customFormat="false" ht="15.75" hidden="false" customHeight="true" outlineLevel="0" collapsed="false">
      <c r="A66" s="5" t="s">
        <v>210</v>
      </c>
      <c r="B66" s="6" t="s">
        <v>211</v>
      </c>
      <c r="C66" s="7" t="s">
        <v>30</v>
      </c>
      <c r="D66" s="8" t="s">
        <v>212</v>
      </c>
      <c r="E66" s="6" t="s">
        <v>213</v>
      </c>
      <c r="F66" s="6" t="s">
        <v>19</v>
      </c>
      <c r="G66" s="9"/>
      <c r="H66" s="9"/>
      <c r="I66" s="10"/>
      <c r="J66" s="9"/>
      <c r="K66" s="9"/>
    </row>
    <row r="67" customFormat="false" ht="15.75" hidden="false" customHeight="true" outlineLevel="0" collapsed="false">
      <c r="A67" s="5" t="s">
        <v>214</v>
      </c>
      <c r="B67" s="6" t="s">
        <v>211</v>
      </c>
      <c r="C67" s="7" t="s">
        <v>30</v>
      </c>
      <c r="D67" s="8" t="s">
        <v>215</v>
      </c>
      <c r="E67" s="6" t="s">
        <v>213</v>
      </c>
      <c r="F67" s="6" t="s">
        <v>32</v>
      </c>
      <c r="G67" s="9"/>
      <c r="H67" s="9"/>
      <c r="I67" s="10"/>
      <c r="J67" s="9"/>
      <c r="K67" s="9"/>
    </row>
    <row r="68" customFormat="false" ht="15.75" hidden="false" customHeight="true" outlineLevel="0" collapsed="false">
      <c r="A68" s="5" t="s">
        <v>216</v>
      </c>
      <c r="B68" s="6" t="s">
        <v>211</v>
      </c>
      <c r="C68" s="7" t="s">
        <v>158</v>
      </c>
      <c r="D68" s="8" t="s">
        <v>217</v>
      </c>
      <c r="E68" s="6" t="s">
        <v>213</v>
      </c>
      <c r="F68" s="6" t="s">
        <v>32</v>
      </c>
      <c r="G68" s="9"/>
      <c r="H68" s="9"/>
      <c r="I68" s="10"/>
      <c r="J68" s="9"/>
      <c r="K68" s="9"/>
    </row>
    <row r="69" customFormat="false" ht="15.75" hidden="false" customHeight="true" outlineLevel="0" collapsed="false">
      <c r="A69" s="5" t="s">
        <v>218</v>
      </c>
      <c r="B69" s="6" t="s">
        <v>211</v>
      </c>
      <c r="C69" s="7" t="s">
        <v>158</v>
      </c>
      <c r="D69" s="8" t="s">
        <v>219</v>
      </c>
      <c r="E69" s="6" t="s">
        <v>220</v>
      </c>
      <c r="F69" s="6" t="s">
        <v>32</v>
      </c>
      <c r="G69" s="9"/>
      <c r="H69" s="9"/>
      <c r="I69" s="10"/>
      <c r="J69" s="9"/>
      <c r="K69" s="9"/>
    </row>
  </sheetData>
  <autoFilter ref="A3:K69"/>
  <mergeCells count="18">
    <mergeCell ref="A1:K1"/>
    <mergeCell ref="A2:K2"/>
    <mergeCell ref="M3:N3"/>
    <mergeCell ref="N4:P4"/>
    <mergeCell ref="N5:P5"/>
    <mergeCell ref="N6:P6"/>
    <mergeCell ref="N7:P7"/>
    <mergeCell ref="N8:P8"/>
    <mergeCell ref="N9:P9"/>
    <mergeCell ref="N10:P10"/>
    <mergeCell ref="N11:P11"/>
    <mergeCell ref="M13:N13"/>
    <mergeCell ref="M22:N22"/>
    <mergeCell ref="M29:S29"/>
    <mergeCell ref="M38:P38"/>
    <mergeCell ref="N39:P39"/>
    <mergeCell ref="N40:P40"/>
    <mergeCell ref="N41:P41"/>
  </mergeCells>
  <conditionalFormatting sqref="A4:K69">
    <cfRule type="expression" priority="2" aboveAverage="0" equalAverage="0" bottom="0" percent="0" rank="0" text="" dxfId="5">
      <formula>$G4="Fallido"</formula>
    </cfRule>
    <cfRule type="expression" priority="3" aboveAverage="0" equalAverage="0" bottom="0" percent="0" rank="0" text="" dxfId="6">
      <formula>$G4="Bloqueado"</formula>
    </cfRule>
    <cfRule type="expression" priority="4" aboveAverage="0" equalAverage="0" bottom="0" percent="0" rank="0" text="" dxfId="7">
      <formula>$G4="Aprobado"</formula>
    </cfRule>
    <cfRule type="expression" priority="5" aboveAverage="0" equalAverage="0" bottom="0" percent="0" rank="0" text="" dxfId="8">
      <formula>$G4="No ejecutado"</formula>
    </cfRule>
    <cfRule type="expression" priority="6" aboveAverage="0" equalAverage="0" bottom="0" percent="0" rank="0" text="" dxfId="8">
      <formula>$G4="No aplica"</formula>
    </cfRule>
  </conditionalFormatting>
  <dataValidations count="2">
    <dataValidation allowBlank="true" error="Usar uno de los estados de la sección 12.2." errorStyle="stop" errorTitle="Estado no válido" operator="between" showDropDown="false" showErrorMessage="false" showInputMessage="false" sqref="G4:G69" type="list">
      <formula1>"Aprobado,Fallido,Bloqueado,No ejecutado,No aplica"</formula1>
      <formula2>0</formula2>
    </dataValidation>
    <dataValidation allowBlank="true" errorStyle="stop" operator="greaterThan" showDropDown="false" showErrorMessage="false" showInputMessage="false" sqref="I4:I69" type="date">
      <formula1>DATE(2026,1,1)</formula1>
      <formula2>0</formula2>
    </dataValidation>
  </dataValidations>
  <hyperlinks>
    <hyperlink ref="A4" r:id="rId1" location="'CP-001'!A1" display="CP-001"/>
    <hyperlink ref="A5" r:id="rId2" location="'CP-002'!A1" display="CP-002"/>
    <hyperlink ref="A6" r:id="rId3" location="'CP-003'!A1" display="CP-003"/>
    <hyperlink ref="A7" r:id="rId4" location="'CP-004'!A1" display="CP-004"/>
    <hyperlink ref="A8" r:id="rId5" location="'CP-005'!A1" display="CP-005"/>
    <hyperlink ref="A9" r:id="rId6" location="'CP-006'!A1" display="CP-006"/>
    <hyperlink ref="A10" r:id="rId7" location="'CP-007'!A1" display="CP-007"/>
    <hyperlink ref="A11" r:id="rId8" location="'CP-008'!A1" display="CP-008"/>
    <hyperlink ref="A12" r:id="rId9" location="'CP-009'!A1" display="CP-009"/>
    <hyperlink ref="A13" r:id="rId10" location="'CP-010'!A1" display="CP-010"/>
    <hyperlink ref="A14" r:id="rId11" location="'CP-011'!A1" display="CP-011"/>
    <hyperlink ref="A15" r:id="rId12" location="'CP-012'!A1" display="CP-012"/>
    <hyperlink ref="A16" r:id="rId13" location="'CP-013'!A1" display="CP-013"/>
    <hyperlink ref="A17" r:id="rId14" location="'CP-014'!A1" display="CP-014"/>
    <hyperlink ref="A18" r:id="rId15" location="'CP-015'!A1" display="CP-015"/>
    <hyperlink ref="A19" r:id="rId16" location="'CP-016'!A1" display="CP-016"/>
    <hyperlink ref="A20" r:id="rId17" location="'CP-017'!A1" display="CP-017"/>
    <hyperlink ref="A21" r:id="rId18" location="'CP-018'!A1" display="CP-018"/>
    <hyperlink ref="A22" r:id="rId19" location="'CP-019'!A1" display="CP-019"/>
    <hyperlink ref="A23" r:id="rId20" location="'CP-020'!A1" display="CP-020"/>
    <hyperlink ref="A24" r:id="rId21" location="'CP-021'!A1" display="CP-021"/>
    <hyperlink ref="A25" r:id="rId22" location="'CP-022'!A1" display="CP-022"/>
    <hyperlink ref="A26" r:id="rId23" location="'CP-023'!A1" display="CP-023"/>
    <hyperlink ref="A27" r:id="rId24" location="'CP-024'!A1" display="CP-024"/>
    <hyperlink ref="A28" r:id="rId25" location="'CP-025'!A1" display="CP-025"/>
    <hyperlink ref="A29" r:id="rId26" location="'CP-026'!A1" display="CP-026"/>
    <hyperlink ref="A30" r:id="rId27" location="'CP-027'!A1" display="CP-027"/>
    <hyperlink ref="A31" r:id="rId28" location="'CP-028'!A1" display="CP-028"/>
    <hyperlink ref="A32" r:id="rId29" location="'CP-029'!A1" display="CP-029"/>
    <hyperlink ref="A33" r:id="rId30" location="'CP-030'!A1" display="CP-030"/>
    <hyperlink ref="A34" r:id="rId31" location="'CP-031'!A1" display="CP-031"/>
    <hyperlink ref="A35" r:id="rId32" location="'CP-032'!A1" display="CP-032"/>
    <hyperlink ref="A36" r:id="rId33" location="'CP-033'!A1" display="CP-033"/>
    <hyperlink ref="A37" r:id="rId34" location="'CP-034'!A1" display="CP-034"/>
    <hyperlink ref="A38" r:id="rId35" location="'CP-035'!A1" display="CP-035"/>
    <hyperlink ref="A39" r:id="rId36" location="'CP-036'!A1" display="CP-036"/>
    <hyperlink ref="A40" r:id="rId37" location="'CP-037'!A1" display="CP-037"/>
    <hyperlink ref="A41" r:id="rId38" location="'CP-038'!A1" display="CP-038"/>
    <hyperlink ref="A42" r:id="rId39" location="'CP-039'!A1" display="CP-039"/>
    <hyperlink ref="A43" r:id="rId40" location="'CP-040'!A1" display="CP-040"/>
    <hyperlink ref="A44" r:id="rId41" location="'CP-041'!A1" display="CP-041"/>
    <hyperlink ref="A45" r:id="rId42" location="'CP-042'!A1" display="CP-042"/>
    <hyperlink ref="A46" r:id="rId43" location="'CP-043'!A1" display="CP-043"/>
    <hyperlink ref="A47" r:id="rId44" location="'CP-044'!A1" display="CP-044"/>
    <hyperlink ref="A48" r:id="rId45" location="'CP-045'!A1" display="CP-045"/>
    <hyperlink ref="A49" r:id="rId46" location="'CP-046'!A1" display="CP-046"/>
    <hyperlink ref="A50" r:id="rId47" location="'CP-047'!A1" display="CP-047"/>
    <hyperlink ref="A51" r:id="rId48" location="'CP-048'!A1" display="CP-048"/>
    <hyperlink ref="A52" r:id="rId49" location="'CP-049'!A1" display="CP-049"/>
    <hyperlink ref="A53" r:id="rId50" location="'CP-050'!A1" display="CP-050"/>
    <hyperlink ref="A54" r:id="rId51" location="'CP-051'!A1" display="CP-051"/>
    <hyperlink ref="A55" r:id="rId52" location="'CP-052'!A1" display="CP-052"/>
    <hyperlink ref="A56" r:id="rId53" location="'CP-053'!A1" display="CP-053"/>
    <hyperlink ref="A57" r:id="rId54" location="'CP-054'!A1" display="CP-054"/>
    <hyperlink ref="A58" r:id="rId55" location="'CP-055'!A1" display="CP-055"/>
    <hyperlink ref="A59" r:id="rId56" location="'CP-056'!A1" display="CP-056"/>
    <hyperlink ref="A60" r:id="rId57" location="'CP-057'!A1" display="CP-057"/>
    <hyperlink ref="A61" r:id="rId58" location="'CP-058'!A1" display="CP-058"/>
    <hyperlink ref="A62" r:id="rId59" location="'CP-059'!A1" display="CP-059"/>
    <hyperlink ref="A63" r:id="rId60" location="'CP-060'!A1" display="CP-060"/>
    <hyperlink ref="A64" r:id="rId61" location="'CP-061'!A1" display="CP-061"/>
    <hyperlink ref="A65" r:id="rId62" location="'CP-062'!A1" display="CP-062"/>
    <hyperlink ref="A66" r:id="rId63" location="'CP-063'!A1" display="CP-063"/>
    <hyperlink ref="A67" r:id="rId64" location="'CP-064'!A1" display="CP-064"/>
    <hyperlink ref="A68" r:id="rId65" location="'CP-065'!A1" display="CP-065"/>
    <hyperlink ref="A69" r:id="rId66" location="'CP-066'!A1" display="CP-06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6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R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2" min="10" style="0" width="16"/>
    <col collapsed="false" customWidth="true" hidden="false" outlineLevel="0" max="13" min="13" style="0" width="12"/>
    <col collapsed="false" customWidth="true" hidden="false" outlineLevel="0" max="14" min="14" style="0" width="34"/>
    <col collapsed="false" customWidth="true" hidden="false" outlineLevel="0" max="16" min="16" style="0" width="3"/>
    <col collapsed="false" customWidth="true" hidden="false" outlineLevel="0" max="17" min="17" style="0" width="22"/>
    <col collapsed="false" customWidth="true" hidden="false" outlineLevel="0" max="18" min="18" style="0" width="10"/>
  </cols>
  <sheetData>
    <row r="1" customFormat="false" ht="24" hidden="false" customHeight="true" outlineLevel="0" collapsed="false">
      <c r="A1" s="19" t="s">
        <v>221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customFormat="false" ht="27.75" hidden="false" customHeight="true" outlineLevel="0" collapsed="false">
      <c r="A2" s="2" t="s">
        <v>222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2" t="s">
        <v>223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30" hidden="false" customHeight="true" outlineLevel="0" collapsed="false">
      <c r="A4" s="20" t="s">
        <v>224</v>
      </c>
      <c r="B4" s="20" t="s">
        <v>5</v>
      </c>
      <c r="C4" s="20" t="s">
        <v>225</v>
      </c>
      <c r="D4" s="20" t="s">
        <v>226</v>
      </c>
      <c r="E4" s="20" t="s">
        <v>227</v>
      </c>
      <c r="F4" s="20" t="s">
        <v>4</v>
      </c>
      <c r="G4" s="20" t="s">
        <v>8</v>
      </c>
      <c r="H4" s="20" t="s">
        <v>228</v>
      </c>
      <c r="I4" s="20" t="s">
        <v>229</v>
      </c>
      <c r="J4" s="20" t="s">
        <v>230</v>
      </c>
      <c r="K4" s="20" t="s">
        <v>231</v>
      </c>
      <c r="L4" s="20" t="s">
        <v>232</v>
      </c>
      <c r="M4" s="20" t="s">
        <v>10</v>
      </c>
      <c r="N4" s="20" t="s">
        <v>12</v>
      </c>
      <c r="Q4" s="21" t="s">
        <v>233</v>
      </c>
      <c r="R4" s="21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9"/>
      <c r="Q5" s="11" t="s">
        <v>234</v>
      </c>
      <c r="R5" s="12" t="n">
        <f aca="false">COUNTIF($E$5:$E$104,"Bloqueante")</f>
        <v>0</v>
      </c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0"/>
      <c r="N6" s="9"/>
      <c r="Q6" s="11" t="s">
        <v>235</v>
      </c>
      <c r="R6" s="12" t="n">
        <f aca="false">COUNTIF($E$5:$E$104,"Crítica")</f>
        <v>0</v>
      </c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0"/>
      <c r="N7" s="9"/>
      <c r="Q7" s="11" t="s">
        <v>236</v>
      </c>
      <c r="R7" s="12" t="n">
        <f aca="false">COUNTIF($E$5:$E$104,"Mayor")</f>
        <v>0</v>
      </c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10"/>
      <c r="N8" s="9"/>
      <c r="Q8" s="11" t="s">
        <v>237</v>
      </c>
      <c r="R8" s="12" t="n">
        <f aca="false">COUNTIF($E$5:$E$104,"Menor")</f>
        <v>0</v>
      </c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0"/>
      <c r="N9" s="9"/>
      <c r="Q9" s="11" t="s">
        <v>238</v>
      </c>
      <c r="R9" s="12" t="n">
        <f aca="false">COUNTIF($E$5:$E$104,"Trivial")</f>
        <v>0</v>
      </c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10"/>
      <c r="N10" s="9"/>
      <c r="Q10" s="11" t="s">
        <v>131</v>
      </c>
      <c r="R10" s="17" t="n">
        <f aca="false">COUNTA($A$5:$A$104)</f>
        <v>0</v>
      </c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10"/>
      <c r="N11" s="9"/>
    </row>
    <row r="12" customFormat="false" ht="15" hidden="false" customHeight="tru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10"/>
      <c r="N12" s="9"/>
      <c r="Q12" s="21" t="s">
        <v>239</v>
      </c>
      <c r="R12" s="21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0"/>
      <c r="N13" s="9"/>
      <c r="Q13" s="11" t="s">
        <v>240</v>
      </c>
      <c r="R13" s="12" t="n">
        <f aca="false">COUNTIF($G$5:$G$104,"Nuevo")</f>
        <v>0</v>
      </c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10"/>
      <c r="N14" s="9"/>
      <c r="Q14" s="11" t="s">
        <v>241</v>
      </c>
      <c r="R14" s="12" t="n">
        <f aca="false">COUNTIF($G$5:$G$104,"Confirmado")</f>
        <v>0</v>
      </c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10"/>
      <c r="N15" s="9"/>
      <c r="Q15" s="11" t="s">
        <v>242</v>
      </c>
      <c r="R15" s="12" t="n">
        <f aca="false">COUNTIF($G$5:$G$104,"No reproducible")</f>
        <v>0</v>
      </c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10"/>
      <c r="N16" s="9"/>
      <c r="Q16" s="11" t="s">
        <v>243</v>
      </c>
      <c r="R16" s="12" t="n">
        <f aca="false">COUNTIF($G$5:$G$104,"En corrección")</f>
        <v>0</v>
      </c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10"/>
      <c r="N17" s="9"/>
      <c r="Q17" s="11" t="s">
        <v>244</v>
      </c>
      <c r="R17" s="12" t="n">
        <f aca="false">COUNTIF($G$5:$G$104,"Corregido")</f>
        <v>0</v>
      </c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10"/>
      <c r="N18" s="9"/>
      <c r="Q18" s="11" t="s">
        <v>245</v>
      </c>
      <c r="R18" s="12" t="n">
        <f aca="false">COUNTIF($G$5:$G$104,"Verificado")</f>
        <v>0</v>
      </c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10"/>
      <c r="N19" s="9"/>
      <c r="Q19" s="11" t="s">
        <v>246</v>
      </c>
      <c r="R19" s="12" t="n">
        <f aca="false">COUNTIF($G$5:$G$104,"Diferido")</f>
        <v>0</v>
      </c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10"/>
      <c r="N20" s="9"/>
      <c r="Q20" s="11" t="s">
        <v>247</v>
      </c>
      <c r="R20" s="12" t="n">
        <f aca="false">COUNTIF($G$5:$G$104,"Rechazado")</f>
        <v>0</v>
      </c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10"/>
      <c r="N21" s="9"/>
    </row>
    <row r="22" customFormat="false" ht="26.85" hidden="false" customHeight="tru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10"/>
      <c r="N22" s="9"/>
      <c r="Q22" s="21" t="s">
        <v>248</v>
      </c>
      <c r="R22" s="21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10"/>
      <c r="N23" s="9"/>
      <c r="Q23" s="11" t="s">
        <v>249</v>
      </c>
      <c r="R23" s="12" t="n">
        <f aca="false">COUNTIFS($C$5:$C$104,"&gt;=CP-001",$C$5:$C$104,"&lt;=CP-017")</f>
        <v>0</v>
      </c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10"/>
      <c r="N24" s="9"/>
      <c r="Q24" s="11" t="s">
        <v>250</v>
      </c>
      <c r="R24" s="12" t="n">
        <f aca="false">COUNTIFS($C$5:$C$104,"&gt;=CP-018",$C$5:$C$104,"&lt;=CP-033")</f>
        <v>0</v>
      </c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10"/>
      <c r="N25" s="9"/>
      <c r="Q25" s="11" t="s">
        <v>251</v>
      </c>
      <c r="R25" s="12" t="n">
        <f aca="false">COUNTIFS($C$5:$C$104,"&gt;=CP-034",$C$5:$C$104,"&lt;=CP-046")</f>
        <v>0</v>
      </c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10"/>
      <c r="N26" s="9"/>
      <c r="Q26" s="11" t="s">
        <v>252</v>
      </c>
      <c r="R26" s="12" t="n">
        <f aca="false">COUNTIFS($C$5:$C$104,"&gt;=CP-047",$C$5:$C$104,"&lt;=CP-062")</f>
        <v>0</v>
      </c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10"/>
      <c r="N27" s="9"/>
      <c r="Q27" s="11" t="s">
        <v>253</v>
      </c>
      <c r="R27" s="12" t="n">
        <f aca="false">COUNTIFS($C$5:$C$104,"&gt;=CP-063",$C$5:$C$104,"&lt;=CP-066")</f>
        <v>0</v>
      </c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10"/>
      <c r="N28" s="9"/>
      <c r="Q28" s="11" t="s">
        <v>254</v>
      </c>
      <c r="R28" s="12" t="n">
        <f aca="false">COUNTIF($C$5:$C$104,"Exploratoria")</f>
        <v>0</v>
      </c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10"/>
      <c r="N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10"/>
      <c r="N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10"/>
      <c r="N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10"/>
      <c r="N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10"/>
      <c r="N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10"/>
      <c r="N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10"/>
      <c r="N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10"/>
      <c r="N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10"/>
      <c r="N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10"/>
      <c r="N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10"/>
      <c r="N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10"/>
      <c r="N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10"/>
      <c r="N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10"/>
      <c r="N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10"/>
      <c r="N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10"/>
      <c r="N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10"/>
      <c r="N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10"/>
      <c r="N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10"/>
      <c r="N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10"/>
      <c r="N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10"/>
      <c r="N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10"/>
      <c r="N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10"/>
      <c r="N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10"/>
      <c r="N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10"/>
      <c r="N53" s="9"/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10"/>
      <c r="N54" s="9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10"/>
      <c r="N55" s="9"/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10"/>
      <c r="N56" s="9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10"/>
      <c r="N57" s="9"/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10"/>
      <c r="N58" s="9"/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10"/>
      <c r="N59" s="9"/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10"/>
      <c r="N60" s="9"/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10"/>
      <c r="N61" s="9"/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10"/>
      <c r="N62" s="9"/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10"/>
      <c r="N63" s="9"/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10"/>
      <c r="N64" s="9"/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10"/>
      <c r="N65" s="9"/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10"/>
      <c r="N66" s="9"/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10"/>
      <c r="N67" s="9"/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10"/>
      <c r="N68" s="9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10"/>
      <c r="N69" s="9"/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10"/>
      <c r="N70" s="9"/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10"/>
      <c r="N71" s="9"/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10"/>
      <c r="N72" s="9"/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10"/>
      <c r="N73" s="9"/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10"/>
      <c r="N74" s="9"/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10"/>
      <c r="N75" s="9"/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10"/>
      <c r="N76" s="9"/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10"/>
      <c r="N77" s="9"/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10"/>
      <c r="N78" s="9"/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10"/>
      <c r="N79" s="9"/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10"/>
      <c r="N80" s="9"/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10"/>
      <c r="N81" s="9"/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10"/>
      <c r="N82" s="9"/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10"/>
      <c r="N83" s="9"/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10"/>
      <c r="N84" s="9"/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10"/>
      <c r="N85" s="9"/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10"/>
      <c r="N86" s="9"/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10"/>
      <c r="N87" s="9"/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10"/>
      <c r="N88" s="9"/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10"/>
      <c r="N89" s="9"/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10"/>
      <c r="N90" s="9"/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10"/>
      <c r="N91" s="9"/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10"/>
      <c r="N92" s="9"/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10"/>
      <c r="N93" s="9"/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10"/>
      <c r="N94" s="9"/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10"/>
      <c r="N95" s="9"/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10"/>
      <c r="N96" s="9"/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10"/>
      <c r="N97" s="9"/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10"/>
      <c r="N98" s="9"/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10"/>
      <c r="N99" s="9"/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10"/>
      <c r="N100" s="9"/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10"/>
      <c r="N101" s="9"/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10"/>
      <c r="N102" s="9"/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10"/>
      <c r="N103" s="9"/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10"/>
      <c r="N104" s="9"/>
    </row>
  </sheetData>
  <mergeCells count="6">
    <mergeCell ref="A1:N1"/>
    <mergeCell ref="A2:N2"/>
    <mergeCell ref="A3:N3"/>
    <mergeCell ref="Q4:R4"/>
    <mergeCell ref="Q12:R12"/>
    <mergeCell ref="Q22:R22"/>
  </mergeCells>
  <conditionalFormatting sqref="E5:E104">
    <cfRule type="expression" priority="2" aboveAverage="0" equalAverage="0" bottom="0" percent="0" rank="0" text="" dxfId="9">
      <formula>$E5="Bloqueante"</formula>
    </cfRule>
    <cfRule type="expression" priority="3" aboveAverage="0" equalAverage="0" bottom="0" percent="0" rank="0" text="" dxfId="10">
      <formula>$E5="Crítica"</formula>
    </cfRule>
    <cfRule type="expression" priority="4" aboveAverage="0" equalAverage="0" bottom="0" percent="0" rank="0" text="" dxfId="11">
      <formula>$E5="Mayor"</formula>
    </cfRule>
    <cfRule type="expression" priority="5" aboveAverage="0" equalAverage="0" bottom="0" percent="0" rank="0" text="" dxfId="12">
      <formula>$E5="Menor"</formula>
    </cfRule>
    <cfRule type="expression" priority="6" aboveAverage="0" equalAverage="0" bottom="0" percent="0" rank="0" text="" dxfId="13">
      <formula>$E5="Trivial"</formula>
    </cfRule>
  </conditionalFormatting>
  <dataValidations count="4">
    <dataValidation allowBlank="true" errorStyle="stop" operator="between" showDropDown="false" showErrorMessage="false" showInputMessage="false" sqref="E5:E104" type="list">
      <formula1>"Bloqueante,Crítica,Mayor,Menor,Trivial"</formula1>
      <formula2>0</formula2>
    </dataValidation>
    <dataValidation allowBlank="true" errorStyle="stop" operator="between" showDropDown="false" showErrorMessage="false" showInputMessage="false" sqref="F5:F104" type="list">
      <formula1>"Alta,Media,Baja"</formula1>
      <formula2>0</formula2>
    </dataValidation>
    <dataValidation allowBlank="true" errorStyle="stop" operator="between" showDropDown="false" showErrorMessage="false" showInputMessage="false" sqref="G5:G104" type="list">
      <formula1>"Nuevo,Confirmado,No reproducible,En corrección,Corregido,Verificado,Diferido,Rechazado"</formula1>
      <formula2>0</formula2>
    </dataValidation>
    <dataValidation allowBlank="true" errorStyle="stop" operator="between" showDropDown="false" showErrorMessage="false" showInputMessage="false" sqref="J5:J104" type="list">
      <formula1>"Siempre,Intermitente"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14</v>
      </c>
      <c r="C1" s="11" t="s">
        <v>256</v>
      </c>
      <c r="D1" s="16" t="s">
        <v>257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271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283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17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18</v>
      </c>
      <c r="C18" s="11" t="s">
        <v>3</v>
      </c>
      <c r="D18" s="8" t="s">
        <v>115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19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15.75" hidden="false" customHeight="true" outlineLevel="0" collapsed="false">
      <c r="A22" s="6" t="n">
        <v>1</v>
      </c>
      <c r="B22" s="8" t="s">
        <v>298</v>
      </c>
      <c r="C22" s="8"/>
      <c r="D22" s="8" t="s">
        <v>299</v>
      </c>
      <c r="E22" s="8"/>
    </row>
    <row r="23" customFormat="false" ht="15.75" hidden="false" customHeight="true" outlineLevel="0" collapsed="false">
      <c r="A23" s="6" t="n">
        <v>2</v>
      </c>
      <c r="B23" s="8" t="s">
        <v>300</v>
      </c>
      <c r="C23" s="8"/>
      <c r="D23" s="8" t="s">
        <v>301</v>
      </c>
      <c r="E23" s="8"/>
    </row>
    <row r="24" customFormat="false" ht="15.75" hidden="false" customHeight="true" outlineLevel="0" collapsed="false">
      <c r="A24" s="6" t="n">
        <v>3</v>
      </c>
      <c r="B24" s="8" t="s">
        <v>302</v>
      </c>
      <c r="C24" s="8"/>
      <c r="D24" s="8" t="s">
        <v>303</v>
      </c>
      <c r="E24" s="8"/>
    </row>
    <row r="25" customFormat="false" ht="29.25" hidden="false" customHeight="true" outlineLevel="0" collapsed="false">
      <c r="A25" s="6" t="n">
        <v>4</v>
      </c>
      <c r="B25" s="8" t="s">
        <v>304</v>
      </c>
      <c r="C25" s="8"/>
      <c r="D25" s="16" t="s">
        <v>305</v>
      </c>
      <c r="E25" s="16"/>
    </row>
    <row r="26" customFormat="false" ht="24" hidden="false" customHeight="true" outlineLevel="0" collapsed="false">
      <c r="A26" s="24" t="s">
        <v>306</v>
      </c>
      <c r="B26" s="24"/>
      <c r="C26" s="24"/>
      <c r="D26" s="24"/>
      <c r="E26" s="24"/>
    </row>
  </sheetData>
  <mergeCells count="30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A26:E26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4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22</v>
      </c>
      <c r="C1" s="11" t="s">
        <v>256</v>
      </c>
      <c r="D1" s="16" t="s">
        <v>257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271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283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23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18</v>
      </c>
      <c r="C18" s="11" t="s">
        <v>3</v>
      </c>
      <c r="D18" s="8" t="s">
        <v>115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19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29.25" hidden="false" customHeight="true" outlineLevel="0" collapsed="false">
      <c r="A22" s="6" t="n">
        <v>1</v>
      </c>
      <c r="B22" s="8" t="s">
        <v>307</v>
      </c>
      <c r="C22" s="8"/>
      <c r="D22" s="8" t="s">
        <v>308</v>
      </c>
      <c r="E22" s="8"/>
    </row>
    <row r="23" customFormat="false" ht="15.75" hidden="false" customHeight="true" outlineLevel="0" collapsed="false">
      <c r="A23" s="6" t="n">
        <v>2</v>
      </c>
      <c r="B23" s="8" t="s">
        <v>309</v>
      </c>
      <c r="C23" s="8"/>
      <c r="D23" s="8" t="s">
        <v>310</v>
      </c>
      <c r="E23" s="8"/>
    </row>
    <row r="24" customFormat="false" ht="29.25" hidden="false" customHeight="true" outlineLevel="0" collapsed="false">
      <c r="A24" s="6" t="n">
        <v>3</v>
      </c>
      <c r="B24" s="8" t="s">
        <v>311</v>
      </c>
      <c r="C24" s="8"/>
      <c r="D24" s="8" t="s">
        <v>312</v>
      </c>
      <c r="E24" s="8"/>
    </row>
    <row r="25" customFormat="false" ht="29.25" hidden="false" customHeight="true" outlineLevel="0" collapsed="false">
      <c r="A25" s="6" t="n">
        <v>4</v>
      </c>
      <c r="B25" s="8" t="s">
        <v>313</v>
      </c>
      <c r="C25" s="8"/>
      <c r="D25" s="16" t="s">
        <v>314</v>
      </c>
      <c r="E25" s="16"/>
    </row>
    <row r="26" customFormat="false" ht="24" hidden="false" customHeight="true" outlineLevel="0" collapsed="false">
      <c r="A26" s="24" t="s">
        <v>306</v>
      </c>
      <c r="B26" s="24"/>
      <c r="C26" s="24"/>
      <c r="D26" s="24"/>
      <c r="E26" s="24"/>
    </row>
  </sheetData>
  <mergeCells count="30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A26:E26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5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26</v>
      </c>
      <c r="C1" s="11" t="s">
        <v>256</v>
      </c>
      <c r="D1" s="16" t="s">
        <v>257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315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29.25" hidden="false" customHeight="true" outlineLevel="0" collapsed="false">
      <c r="A10" s="6" t="n">
        <v>3</v>
      </c>
      <c r="B10" s="8" t="s">
        <v>316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27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18</v>
      </c>
      <c r="C18" s="11" t="s">
        <v>3</v>
      </c>
      <c r="D18" s="8" t="s">
        <v>115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19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29.25" hidden="false" customHeight="true" outlineLevel="0" collapsed="false">
      <c r="A22" s="6" t="n">
        <v>1</v>
      </c>
      <c r="B22" s="8" t="s">
        <v>317</v>
      </c>
      <c r="C22" s="8"/>
      <c r="D22" s="8" t="s">
        <v>318</v>
      </c>
      <c r="E22" s="8"/>
    </row>
    <row r="23" customFormat="false" ht="29.25" hidden="false" customHeight="true" outlineLevel="0" collapsed="false">
      <c r="A23" s="6" t="n">
        <v>2</v>
      </c>
      <c r="B23" s="8" t="s">
        <v>319</v>
      </c>
      <c r="C23" s="8"/>
      <c r="D23" s="16" t="s">
        <v>320</v>
      </c>
      <c r="E23" s="16"/>
    </row>
    <row r="24" customFormat="false" ht="24" hidden="false" customHeight="true" outlineLevel="0" collapsed="false">
      <c r="A24" s="24" t="s">
        <v>306</v>
      </c>
      <c r="B24" s="24"/>
      <c r="C24" s="24"/>
      <c r="D24" s="24"/>
      <c r="E24" s="24"/>
    </row>
  </sheetData>
  <mergeCells count="26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A24:E24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6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29</v>
      </c>
      <c r="C1" s="11" t="s">
        <v>256</v>
      </c>
      <c r="D1" s="16" t="s">
        <v>257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30</v>
      </c>
      <c r="C5" s="11" t="s">
        <v>270</v>
      </c>
      <c r="D5" s="8" t="s">
        <v>321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42" hidden="false" customHeight="true" outlineLevel="0" collapsed="false">
      <c r="A10" s="6" t="n">
        <v>3</v>
      </c>
      <c r="B10" s="8" t="s">
        <v>322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31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18</v>
      </c>
      <c r="C18" s="11" t="s">
        <v>3</v>
      </c>
      <c r="D18" s="8" t="s">
        <v>115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32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42" hidden="false" customHeight="true" outlineLevel="0" collapsed="false">
      <c r="A22" s="6" t="n">
        <v>1</v>
      </c>
      <c r="B22" s="8" t="s">
        <v>323</v>
      </c>
      <c r="C22" s="8"/>
      <c r="D22" s="16" t="s">
        <v>324</v>
      </c>
      <c r="E22" s="16"/>
    </row>
    <row r="23" customFormat="false" ht="24" hidden="false" customHeight="true" outlineLevel="0" collapsed="false">
      <c r="A23" s="24" t="s">
        <v>306</v>
      </c>
      <c r="B23" s="24"/>
      <c r="C23" s="24"/>
      <c r="D23" s="24"/>
      <c r="E23" s="24"/>
    </row>
  </sheetData>
  <mergeCells count="24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A23:E23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7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34</v>
      </c>
      <c r="C1" s="11" t="s">
        <v>256</v>
      </c>
      <c r="D1" s="16" t="s">
        <v>257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325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29.25" hidden="false" customHeight="true" outlineLevel="0" collapsed="false">
      <c r="A10" s="6" t="n">
        <v>3</v>
      </c>
      <c r="B10" s="8" t="s">
        <v>326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35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18</v>
      </c>
      <c r="C18" s="11" t="s">
        <v>3</v>
      </c>
      <c r="D18" s="8" t="s">
        <v>115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32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29.25" hidden="false" customHeight="true" outlineLevel="0" collapsed="false">
      <c r="A22" s="6" t="n">
        <v>1</v>
      </c>
      <c r="B22" s="8" t="s">
        <v>327</v>
      </c>
      <c r="C22" s="8"/>
      <c r="D22" s="16" t="s">
        <v>328</v>
      </c>
      <c r="E22" s="16"/>
    </row>
    <row r="23" customFormat="false" ht="24" hidden="false" customHeight="true" outlineLevel="0" collapsed="false">
      <c r="A23" s="24" t="s">
        <v>306</v>
      </c>
      <c r="B23" s="24"/>
      <c r="C23" s="24"/>
      <c r="D23" s="24"/>
      <c r="E23" s="24"/>
    </row>
  </sheetData>
  <mergeCells count="24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A23:E23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8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37</v>
      </c>
      <c r="C1" s="11" t="s">
        <v>256</v>
      </c>
      <c r="D1" s="16" t="s">
        <v>257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30</v>
      </c>
      <c r="C5" s="11" t="s">
        <v>270</v>
      </c>
      <c r="D5" s="8" t="s">
        <v>271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29.25" hidden="false" customHeight="true" outlineLevel="0" collapsed="false">
      <c r="A10" s="6" t="n">
        <v>3</v>
      </c>
      <c r="B10" s="8" t="s">
        <v>329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38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18</v>
      </c>
      <c r="C18" s="11" t="s">
        <v>3</v>
      </c>
      <c r="D18" s="8" t="s">
        <v>115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32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29.25" hidden="false" customHeight="true" outlineLevel="0" collapsed="false">
      <c r="A22" s="6" t="n">
        <v>1</v>
      </c>
      <c r="B22" s="8" t="s">
        <v>330</v>
      </c>
      <c r="C22" s="8"/>
      <c r="D22" s="16" t="s">
        <v>331</v>
      </c>
      <c r="E22" s="16"/>
    </row>
    <row r="23" customFormat="false" ht="24" hidden="false" customHeight="true" outlineLevel="0" collapsed="false">
      <c r="A23" s="24" t="s">
        <v>306</v>
      </c>
      <c r="B23" s="24"/>
      <c r="C23" s="24"/>
      <c r="D23" s="24"/>
      <c r="E23" s="24"/>
    </row>
  </sheetData>
  <mergeCells count="24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A23:E23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9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40</v>
      </c>
      <c r="C1" s="11" t="s">
        <v>256</v>
      </c>
      <c r="D1" s="16" t="s">
        <v>332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325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283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41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42</v>
      </c>
      <c r="C18" s="11" t="s">
        <v>3</v>
      </c>
      <c r="D18" s="8" t="s">
        <v>115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32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15.75" hidden="false" customHeight="true" outlineLevel="0" collapsed="false">
      <c r="A22" s="6" t="n">
        <v>1</v>
      </c>
      <c r="B22" s="8" t="s">
        <v>333</v>
      </c>
      <c r="C22" s="8"/>
      <c r="D22" s="8" t="s">
        <v>334</v>
      </c>
      <c r="E22" s="8"/>
    </row>
    <row r="23" customFormat="false" ht="42" hidden="false" customHeight="true" outlineLevel="0" collapsed="false">
      <c r="A23" s="6" t="n">
        <v>2</v>
      </c>
      <c r="B23" s="8" t="s">
        <v>335</v>
      </c>
      <c r="C23" s="8"/>
      <c r="D23" s="16" t="s">
        <v>336</v>
      </c>
      <c r="E23" s="16"/>
    </row>
    <row r="24" customFormat="false" ht="24" hidden="false" customHeight="true" outlineLevel="0" collapsed="false">
      <c r="A24" s="24" t="s">
        <v>306</v>
      </c>
      <c r="B24" s="24"/>
      <c r="C24" s="24"/>
      <c r="D24" s="24"/>
      <c r="E24" s="24"/>
    </row>
  </sheetData>
  <mergeCells count="26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A24:E24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10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44</v>
      </c>
      <c r="C1" s="11" t="s">
        <v>256</v>
      </c>
      <c r="D1" s="16" t="s">
        <v>332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325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283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45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42</v>
      </c>
      <c r="C18" s="11" t="s">
        <v>3</v>
      </c>
      <c r="D18" s="8" t="s">
        <v>115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32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29.25" hidden="false" customHeight="true" outlineLevel="0" collapsed="false">
      <c r="A22" s="6" t="n">
        <v>1</v>
      </c>
      <c r="B22" s="8" t="s">
        <v>337</v>
      </c>
      <c r="C22" s="8"/>
      <c r="D22" s="8" t="s">
        <v>338</v>
      </c>
      <c r="E22" s="8"/>
    </row>
    <row r="23" customFormat="false" ht="29.25" hidden="false" customHeight="true" outlineLevel="0" collapsed="false">
      <c r="A23" s="6" t="n">
        <v>2</v>
      </c>
      <c r="B23" s="8" t="s">
        <v>339</v>
      </c>
      <c r="C23" s="8"/>
      <c r="D23" s="16" t="s">
        <v>340</v>
      </c>
      <c r="E23" s="16"/>
    </row>
    <row r="24" customFormat="false" ht="24" hidden="false" customHeight="true" outlineLevel="0" collapsed="false">
      <c r="A24" s="24" t="s">
        <v>306</v>
      </c>
      <c r="B24" s="24"/>
      <c r="C24" s="24"/>
      <c r="D24" s="24"/>
      <c r="E24" s="24"/>
    </row>
  </sheetData>
  <mergeCells count="26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A24:E24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11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48</v>
      </c>
      <c r="C1" s="11" t="s">
        <v>256</v>
      </c>
      <c r="D1" s="16" t="s">
        <v>332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315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283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49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42</v>
      </c>
      <c r="C18" s="11" t="s">
        <v>3</v>
      </c>
      <c r="D18" s="8" t="s">
        <v>115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32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29.25" hidden="false" customHeight="true" outlineLevel="0" collapsed="false">
      <c r="A22" s="6" t="n">
        <v>1</v>
      </c>
      <c r="B22" s="8" t="s">
        <v>341</v>
      </c>
      <c r="C22" s="8"/>
      <c r="D22" s="16" t="s">
        <v>342</v>
      </c>
      <c r="E22" s="16"/>
    </row>
    <row r="23" customFormat="false" ht="24" hidden="false" customHeight="true" outlineLevel="0" collapsed="false">
      <c r="A23" s="24" t="s">
        <v>306</v>
      </c>
      <c r="B23" s="24"/>
      <c r="C23" s="24"/>
      <c r="D23" s="24"/>
      <c r="E23" s="24"/>
    </row>
  </sheetData>
  <mergeCells count="24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A23:E23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12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50</v>
      </c>
      <c r="C1" s="11" t="s">
        <v>256</v>
      </c>
      <c r="D1" s="16" t="s">
        <v>332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30</v>
      </c>
      <c r="C5" s="11" t="s">
        <v>270</v>
      </c>
      <c r="D5" s="8" t="s">
        <v>315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283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51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42</v>
      </c>
      <c r="C18" s="11" t="s">
        <v>3</v>
      </c>
      <c r="D18" s="8" t="s">
        <v>115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32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42" hidden="false" customHeight="true" outlineLevel="0" collapsed="false">
      <c r="A22" s="6" t="n">
        <v>1</v>
      </c>
      <c r="B22" s="8" t="s">
        <v>343</v>
      </c>
      <c r="C22" s="8"/>
      <c r="D22" s="16" t="s">
        <v>344</v>
      </c>
      <c r="E22" s="16"/>
    </row>
    <row r="23" customFormat="false" ht="24" hidden="false" customHeight="true" outlineLevel="0" collapsed="false">
      <c r="A23" s="24" t="s">
        <v>306</v>
      </c>
      <c r="B23" s="24"/>
      <c r="C23" s="24"/>
      <c r="D23" s="24"/>
      <c r="E23" s="24"/>
    </row>
  </sheetData>
  <mergeCells count="24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A23:E23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13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53</v>
      </c>
      <c r="C1" s="11" t="s">
        <v>256</v>
      </c>
      <c r="D1" s="16" t="s">
        <v>345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271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346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54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55</v>
      </c>
      <c r="C18" s="11" t="s">
        <v>3</v>
      </c>
      <c r="D18" s="8" t="s">
        <v>115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19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29.25" hidden="false" customHeight="true" outlineLevel="0" collapsed="false">
      <c r="A22" s="6" t="n">
        <v>1</v>
      </c>
      <c r="B22" s="8" t="s">
        <v>347</v>
      </c>
      <c r="C22" s="8"/>
      <c r="D22" s="8" t="s">
        <v>348</v>
      </c>
      <c r="E22" s="8"/>
    </row>
    <row r="23" customFormat="false" ht="15.75" hidden="false" customHeight="true" outlineLevel="0" collapsed="false">
      <c r="A23" s="6" t="n">
        <v>2</v>
      </c>
      <c r="B23" s="8" t="s">
        <v>349</v>
      </c>
      <c r="C23" s="8"/>
      <c r="D23" s="8" t="s">
        <v>350</v>
      </c>
      <c r="E23" s="8"/>
    </row>
    <row r="24" customFormat="false" ht="42" hidden="false" customHeight="true" outlineLevel="0" collapsed="false">
      <c r="A24" s="6" t="n">
        <v>3</v>
      </c>
      <c r="B24" s="8" t="s">
        <v>351</v>
      </c>
      <c r="C24" s="8"/>
      <c r="D24" s="16" t="s">
        <v>352</v>
      </c>
      <c r="E24" s="16"/>
    </row>
    <row r="25" customFormat="false" ht="24" hidden="false" customHeight="true" outlineLevel="0" collapsed="false">
      <c r="A25" s="24" t="s">
        <v>306</v>
      </c>
      <c r="B25" s="24"/>
      <c r="C25" s="24"/>
      <c r="D25" s="24"/>
      <c r="E25" s="24"/>
    </row>
  </sheetData>
  <mergeCells count="28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B24:C24"/>
    <mergeCell ref="D24:E24"/>
    <mergeCell ref="A25:E25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14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57</v>
      </c>
      <c r="C1" s="11" t="s">
        <v>256</v>
      </c>
      <c r="D1" s="16" t="s">
        <v>345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315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283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58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55</v>
      </c>
      <c r="C18" s="11" t="s">
        <v>3</v>
      </c>
      <c r="D18" s="8" t="s">
        <v>115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32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29.25" hidden="false" customHeight="true" outlineLevel="0" collapsed="false">
      <c r="A22" s="6" t="n">
        <v>1</v>
      </c>
      <c r="B22" s="8" t="s">
        <v>353</v>
      </c>
      <c r="C22" s="8"/>
      <c r="D22" s="8" t="s">
        <v>354</v>
      </c>
      <c r="E22" s="8"/>
    </row>
    <row r="23" customFormat="false" ht="29.25" hidden="false" customHeight="true" outlineLevel="0" collapsed="false">
      <c r="A23" s="6" t="n">
        <v>2</v>
      </c>
      <c r="B23" s="8" t="s">
        <v>355</v>
      </c>
      <c r="C23" s="8"/>
      <c r="D23" s="8" t="s">
        <v>356</v>
      </c>
      <c r="E23" s="8"/>
    </row>
    <row r="24" customFormat="false" ht="29.25" hidden="false" customHeight="true" outlineLevel="0" collapsed="false">
      <c r="A24" s="6" t="n">
        <v>3</v>
      </c>
      <c r="B24" s="8" t="s">
        <v>357</v>
      </c>
      <c r="C24" s="8"/>
      <c r="D24" s="16" t="s">
        <v>358</v>
      </c>
      <c r="E24" s="16"/>
    </row>
    <row r="25" customFormat="false" ht="24" hidden="false" customHeight="true" outlineLevel="0" collapsed="false">
      <c r="A25" s="24" t="s">
        <v>306</v>
      </c>
      <c r="B25" s="24"/>
      <c r="C25" s="24"/>
      <c r="D25" s="24"/>
      <c r="E25" s="24"/>
    </row>
  </sheetData>
  <mergeCells count="28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B24:C24"/>
    <mergeCell ref="D24:E24"/>
    <mergeCell ref="A25:E25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15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60</v>
      </c>
      <c r="C1" s="11" t="s">
        <v>256</v>
      </c>
      <c r="D1" s="16" t="s">
        <v>345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30</v>
      </c>
      <c r="C5" s="11" t="s">
        <v>270</v>
      </c>
      <c r="D5" s="8" t="s">
        <v>315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283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61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55</v>
      </c>
      <c r="C18" s="11" t="s">
        <v>3</v>
      </c>
      <c r="D18" s="8" t="s">
        <v>115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32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15.75" hidden="false" customHeight="true" outlineLevel="0" collapsed="false">
      <c r="A22" s="6" t="n">
        <v>1</v>
      </c>
      <c r="B22" s="8" t="s">
        <v>359</v>
      </c>
      <c r="C22" s="8"/>
      <c r="D22" s="8" t="s">
        <v>360</v>
      </c>
      <c r="E22" s="8"/>
    </row>
    <row r="23" customFormat="false" ht="42" hidden="false" customHeight="true" outlineLevel="0" collapsed="false">
      <c r="A23" s="6" t="n">
        <v>2</v>
      </c>
      <c r="B23" s="8" t="s">
        <v>361</v>
      </c>
      <c r="C23" s="8"/>
      <c r="D23" s="16" t="s">
        <v>362</v>
      </c>
      <c r="E23" s="16"/>
    </row>
    <row r="24" customFormat="false" ht="24" hidden="false" customHeight="true" outlineLevel="0" collapsed="false">
      <c r="A24" s="24" t="s">
        <v>306</v>
      </c>
      <c r="B24" s="24"/>
      <c r="C24" s="24"/>
      <c r="D24" s="24"/>
      <c r="E24" s="24"/>
    </row>
  </sheetData>
  <mergeCells count="26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A24:E24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16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63</v>
      </c>
      <c r="C1" s="11" t="s">
        <v>256</v>
      </c>
      <c r="D1" s="16" t="s">
        <v>363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325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29.25" hidden="false" customHeight="true" outlineLevel="0" collapsed="false">
      <c r="A10" s="6" t="n">
        <v>3</v>
      </c>
      <c r="B10" s="8" t="s">
        <v>364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64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65</v>
      </c>
      <c r="C18" s="11" t="s">
        <v>3</v>
      </c>
      <c r="D18" s="8" t="s">
        <v>115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19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29.25" hidden="false" customHeight="true" outlineLevel="0" collapsed="false">
      <c r="A22" s="6" t="n">
        <v>1</v>
      </c>
      <c r="B22" s="8" t="s">
        <v>365</v>
      </c>
      <c r="C22" s="8"/>
      <c r="D22" s="16" t="s">
        <v>366</v>
      </c>
      <c r="E22" s="16"/>
    </row>
    <row r="23" customFormat="false" ht="24" hidden="false" customHeight="true" outlineLevel="0" collapsed="false">
      <c r="A23" s="24" t="s">
        <v>306</v>
      </c>
      <c r="B23" s="24"/>
      <c r="C23" s="24"/>
      <c r="D23" s="24"/>
      <c r="E23" s="24"/>
    </row>
  </sheetData>
  <mergeCells count="24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A23:E23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17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67</v>
      </c>
      <c r="C1" s="11" t="s">
        <v>256</v>
      </c>
      <c r="D1" s="16" t="s">
        <v>363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325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29.25" hidden="false" customHeight="true" outlineLevel="0" collapsed="false">
      <c r="A10" s="6" t="n">
        <v>3</v>
      </c>
      <c r="B10" s="8" t="s">
        <v>367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68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65</v>
      </c>
      <c r="C18" s="11" t="s">
        <v>3</v>
      </c>
      <c r="D18" s="8" t="s">
        <v>115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32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29.25" hidden="false" customHeight="true" outlineLevel="0" collapsed="false">
      <c r="A22" s="6" t="n">
        <v>1</v>
      </c>
      <c r="B22" s="8" t="s">
        <v>368</v>
      </c>
      <c r="C22" s="8"/>
      <c r="D22" s="8" t="s">
        <v>369</v>
      </c>
      <c r="E22" s="8"/>
    </row>
    <row r="23" customFormat="false" ht="29.25" hidden="false" customHeight="true" outlineLevel="0" collapsed="false">
      <c r="A23" s="6" t="n">
        <v>2</v>
      </c>
      <c r="B23" s="8" t="s">
        <v>370</v>
      </c>
      <c r="C23" s="8"/>
      <c r="D23" s="16" t="s">
        <v>371</v>
      </c>
      <c r="E23" s="16"/>
    </row>
    <row r="24" customFormat="false" ht="24" hidden="false" customHeight="true" outlineLevel="0" collapsed="false">
      <c r="A24" s="24" t="s">
        <v>306</v>
      </c>
      <c r="B24" s="24"/>
      <c r="C24" s="24"/>
      <c r="D24" s="24"/>
      <c r="E24" s="24"/>
    </row>
  </sheetData>
  <mergeCells count="26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A24:E24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18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70</v>
      </c>
      <c r="C1" s="11" t="s">
        <v>256</v>
      </c>
      <c r="D1" s="16" t="s">
        <v>363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321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29.25" hidden="false" customHeight="true" outlineLevel="0" collapsed="false">
      <c r="A10" s="6" t="n">
        <v>3</v>
      </c>
      <c r="B10" s="8" t="s">
        <v>372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71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65</v>
      </c>
      <c r="C18" s="11" t="s">
        <v>3</v>
      </c>
      <c r="D18" s="8" t="s">
        <v>115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19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15.75" hidden="false" customHeight="true" outlineLevel="0" collapsed="false">
      <c r="A22" s="6" t="n">
        <v>1</v>
      </c>
      <c r="B22" s="8" t="s">
        <v>373</v>
      </c>
      <c r="C22" s="8"/>
      <c r="D22" s="8" t="s">
        <v>374</v>
      </c>
      <c r="E22" s="8"/>
    </row>
    <row r="23" customFormat="false" ht="15.75" hidden="false" customHeight="true" outlineLevel="0" collapsed="false">
      <c r="A23" s="6" t="n">
        <v>2</v>
      </c>
      <c r="B23" s="8" t="s">
        <v>375</v>
      </c>
      <c r="C23" s="8"/>
      <c r="D23" s="8" t="s">
        <v>376</v>
      </c>
      <c r="E23" s="8"/>
    </row>
    <row r="24" customFormat="false" ht="29.25" hidden="false" customHeight="true" outlineLevel="0" collapsed="false">
      <c r="A24" s="6" t="n">
        <v>3</v>
      </c>
      <c r="B24" s="8" t="s">
        <v>377</v>
      </c>
      <c r="C24" s="8"/>
      <c r="D24" s="16" t="s">
        <v>378</v>
      </c>
      <c r="E24" s="16"/>
    </row>
    <row r="25" customFormat="false" ht="24" hidden="false" customHeight="true" outlineLevel="0" collapsed="false">
      <c r="A25" s="24" t="s">
        <v>306</v>
      </c>
      <c r="B25" s="24"/>
      <c r="C25" s="24"/>
      <c r="D25" s="24"/>
      <c r="E25" s="24"/>
    </row>
  </sheetData>
  <mergeCells count="28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B24:C24"/>
    <mergeCell ref="D24:E24"/>
    <mergeCell ref="A25:E25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19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73</v>
      </c>
      <c r="C1" s="11" t="s">
        <v>256</v>
      </c>
      <c r="D1" s="16" t="s">
        <v>363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321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29.25" hidden="false" customHeight="true" outlineLevel="0" collapsed="false">
      <c r="A10" s="6" t="n">
        <v>3</v>
      </c>
      <c r="B10" s="8" t="s">
        <v>379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380</v>
      </c>
      <c r="E11" s="8" t="s">
        <v>288</v>
      </c>
    </row>
    <row r="13" customFormat="false" ht="15" hidden="false" customHeight="true" outlineLevel="0" collapsed="false">
      <c r="A13" s="11" t="s">
        <v>291</v>
      </c>
      <c r="B13" s="25" t="s">
        <v>74</v>
      </c>
      <c r="C13" s="25"/>
      <c r="D13" s="25"/>
      <c r="E13" s="25"/>
    </row>
    <row r="14" customFormat="false" ht="15" hidden="false" customHeight="false" outlineLevel="0" collapsed="false">
      <c r="A14" s="11"/>
      <c r="B14" s="11"/>
      <c r="C14" s="25"/>
      <c r="D14" s="25"/>
      <c r="E14" s="25"/>
    </row>
    <row r="16" customFormat="false" ht="18" hidden="false" customHeight="true" outlineLevel="0" collapsed="false">
      <c r="A16" s="11" t="s">
        <v>292</v>
      </c>
      <c r="B16" s="8" t="s">
        <v>65</v>
      </c>
      <c r="C16" s="11" t="s">
        <v>3</v>
      </c>
      <c r="D16" s="8" t="s">
        <v>115</v>
      </c>
      <c r="E16" s="8"/>
    </row>
    <row r="17" customFormat="false" ht="27.75" hidden="false" customHeight="true" outlineLevel="0" collapsed="false">
      <c r="A17" s="11" t="s">
        <v>293</v>
      </c>
      <c r="B17" s="8" t="s">
        <v>294</v>
      </c>
      <c r="C17" s="11" t="s">
        <v>7</v>
      </c>
      <c r="D17" s="8" t="s">
        <v>19</v>
      </c>
      <c r="E17" s="8"/>
    </row>
    <row r="19" customFormat="false" ht="15" hidden="false" customHeight="true" outlineLevel="0" collapsed="false">
      <c r="A19" s="11" t="s">
        <v>295</v>
      </c>
      <c r="B19" s="11" t="s">
        <v>296</v>
      </c>
      <c r="C19" s="11"/>
      <c r="D19" s="11" t="s">
        <v>297</v>
      </c>
      <c r="E19" s="11"/>
    </row>
    <row r="20" customFormat="false" ht="29.25" hidden="false" customHeight="true" outlineLevel="0" collapsed="false">
      <c r="A20" s="6" t="n">
        <v>1</v>
      </c>
      <c r="B20" s="8" t="s">
        <v>381</v>
      </c>
      <c r="C20" s="8"/>
      <c r="D20" s="16" t="s">
        <v>382</v>
      </c>
      <c r="E20" s="16"/>
    </row>
    <row r="21" customFormat="false" ht="24" hidden="false" customHeight="true" outlineLevel="0" collapsed="false">
      <c r="A21" s="24" t="s">
        <v>306</v>
      </c>
      <c r="B21" s="24"/>
      <c r="C21" s="24"/>
      <c r="D21" s="24"/>
      <c r="E21" s="24"/>
    </row>
  </sheetData>
  <mergeCells count="22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A13:A14"/>
    <mergeCell ref="B13:E14"/>
    <mergeCell ref="D16:E16"/>
    <mergeCell ref="D17:E17"/>
    <mergeCell ref="B19:C19"/>
    <mergeCell ref="D19:E19"/>
    <mergeCell ref="B20:C20"/>
    <mergeCell ref="D20:E20"/>
    <mergeCell ref="A21:E21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20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76</v>
      </c>
      <c r="C1" s="11" t="s">
        <v>256</v>
      </c>
      <c r="D1" s="16" t="s">
        <v>383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321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384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78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79</v>
      </c>
      <c r="C18" s="11" t="s">
        <v>3</v>
      </c>
      <c r="D18" s="8" t="s">
        <v>118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19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15.75" hidden="false" customHeight="true" outlineLevel="0" collapsed="false">
      <c r="A22" s="6" t="n">
        <v>1</v>
      </c>
      <c r="B22" s="8" t="s">
        <v>385</v>
      </c>
      <c r="C22" s="8"/>
      <c r="D22" s="8" t="s">
        <v>386</v>
      </c>
      <c r="E22" s="8"/>
    </row>
    <row r="23" customFormat="false" ht="42" hidden="false" customHeight="true" outlineLevel="0" collapsed="false">
      <c r="A23" s="6" t="n">
        <v>2</v>
      </c>
      <c r="B23" s="8" t="s">
        <v>387</v>
      </c>
      <c r="C23" s="8"/>
      <c r="D23" s="16" t="s">
        <v>388</v>
      </c>
      <c r="E23" s="16"/>
    </row>
    <row r="24" customFormat="false" ht="24" hidden="false" customHeight="true" outlineLevel="0" collapsed="false">
      <c r="A24" s="24" t="s">
        <v>306</v>
      </c>
      <c r="B24" s="24"/>
      <c r="C24" s="24"/>
      <c r="D24" s="24"/>
      <c r="E24" s="24"/>
    </row>
  </sheetData>
  <mergeCells count="26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A24:E24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21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80</v>
      </c>
      <c r="C1" s="11" t="s">
        <v>256</v>
      </c>
      <c r="D1" s="16" t="s">
        <v>383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325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283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81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79</v>
      </c>
      <c r="C18" s="11" t="s">
        <v>3</v>
      </c>
      <c r="D18" s="8" t="s">
        <v>118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32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29.25" hidden="false" customHeight="true" outlineLevel="0" collapsed="false">
      <c r="A22" s="6" t="n">
        <v>1</v>
      </c>
      <c r="B22" s="8" t="s">
        <v>389</v>
      </c>
      <c r="C22" s="8"/>
      <c r="D22" s="8" t="s">
        <v>390</v>
      </c>
      <c r="E22" s="8"/>
    </row>
    <row r="23" customFormat="false" ht="29.25" hidden="false" customHeight="true" outlineLevel="0" collapsed="false">
      <c r="A23" s="6" t="n">
        <v>2</v>
      </c>
      <c r="B23" s="8" t="s">
        <v>391</v>
      </c>
      <c r="C23" s="8"/>
      <c r="D23" s="8" t="s">
        <v>392</v>
      </c>
      <c r="E23" s="8"/>
    </row>
    <row r="24" customFormat="false" ht="55.5" hidden="false" customHeight="true" outlineLevel="0" collapsed="false">
      <c r="A24" s="6" t="n">
        <v>3</v>
      </c>
      <c r="B24" s="8" t="s">
        <v>393</v>
      </c>
      <c r="C24" s="8"/>
      <c r="D24" s="16" t="s">
        <v>394</v>
      </c>
      <c r="E24" s="16"/>
    </row>
    <row r="25" customFormat="false" ht="24" hidden="false" customHeight="true" outlineLevel="0" collapsed="false">
      <c r="A25" s="24" t="s">
        <v>306</v>
      </c>
      <c r="B25" s="24"/>
      <c r="C25" s="24"/>
      <c r="D25" s="24"/>
      <c r="E25" s="24"/>
    </row>
  </sheetData>
  <mergeCells count="28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B24:C24"/>
    <mergeCell ref="D24:E24"/>
    <mergeCell ref="A25:E25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22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83</v>
      </c>
      <c r="C1" s="11" t="s">
        <v>256</v>
      </c>
      <c r="D1" s="16" t="s">
        <v>383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315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29.25" hidden="false" customHeight="true" outlineLevel="0" collapsed="false">
      <c r="A10" s="6" t="n">
        <v>3</v>
      </c>
      <c r="B10" s="8" t="s">
        <v>395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84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79</v>
      </c>
      <c r="C18" s="11" t="s">
        <v>3</v>
      </c>
      <c r="D18" s="8" t="s">
        <v>118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32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29.25" hidden="false" customHeight="true" outlineLevel="0" collapsed="false">
      <c r="A22" s="6" t="n">
        <v>1</v>
      </c>
      <c r="B22" s="8" t="s">
        <v>396</v>
      </c>
      <c r="C22" s="8"/>
      <c r="D22" s="8" t="s">
        <v>390</v>
      </c>
      <c r="E22" s="8"/>
    </row>
    <row r="23" customFormat="false" ht="29.25" hidden="false" customHeight="true" outlineLevel="0" collapsed="false">
      <c r="A23" s="6" t="n">
        <v>2</v>
      </c>
      <c r="B23" s="8" t="s">
        <v>397</v>
      </c>
      <c r="C23" s="8"/>
      <c r="D23" s="16" t="s">
        <v>398</v>
      </c>
      <c r="E23" s="16"/>
    </row>
    <row r="24" customFormat="false" ht="24" hidden="false" customHeight="true" outlineLevel="0" collapsed="false">
      <c r="A24" s="24" t="s">
        <v>306</v>
      </c>
      <c r="B24" s="24"/>
      <c r="C24" s="24"/>
      <c r="D24" s="24"/>
      <c r="E24" s="24"/>
    </row>
  </sheetData>
  <mergeCells count="26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A24:E24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23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86</v>
      </c>
      <c r="C1" s="11" t="s">
        <v>256</v>
      </c>
      <c r="D1" s="16" t="s">
        <v>383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30</v>
      </c>
      <c r="C5" s="11" t="s">
        <v>270</v>
      </c>
      <c r="D5" s="8" t="s">
        <v>325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29.25" hidden="false" customHeight="true" outlineLevel="0" collapsed="false">
      <c r="A10" s="6" t="n">
        <v>3</v>
      </c>
      <c r="B10" s="8" t="s">
        <v>399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87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79</v>
      </c>
      <c r="C18" s="11" t="s">
        <v>3</v>
      </c>
      <c r="D18" s="8" t="s">
        <v>118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32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15.75" hidden="false" customHeight="true" outlineLevel="0" collapsed="false">
      <c r="A22" s="6" t="n">
        <v>1</v>
      </c>
      <c r="B22" s="8" t="s">
        <v>396</v>
      </c>
      <c r="C22" s="8"/>
      <c r="D22" s="8" t="s">
        <v>400</v>
      </c>
      <c r="E22" s="8"/>
    </row>
    <row r="23" customFormat="false" ht="29.25" hidden="false" customHeight="true" outlineLevel="0" collapsed="false">
      <c r="A23" s="6" t="n">
        <v>2</v>
      </c>
      <c r="B23" s="8" t="s">
        <v>401</v>
      </c>
      <c r="C23" s="8"/>
      <c r="D23" s="8" t="s">
        <v>402</v>
      </c>
      <c r="E23" s="8"/>
    </row>
    <row r="24" customFormat="false" ht="29.25" hidden="false" customHeight="true" outlineLevel="0" collapsed="false">
      <c r="A24" s="6" t="n">
        <v>3</v>
      </c>
      <c r="B24" s="8" t="s">
        <v>403</v>
      </c>
      <c r="C24" s="8"/>
      <c r="D24" s="16" t="s">
        <v>404</v>
      </c>
      <c r="E24" s="16"/>
    </row>
    <row r="25" customFormat="false" ht="24" hidden="false" customHeight="true" outlineLevel="0" collapsed="false">
      <c r="A25" s="24" t="s">
        <v>306</v>
      </c>
      <c r="B25" s="24"/>
      <c r="C25" s="24"/>
      <c r="D25" s="24"/>
      <c r="E25" s="24"/>
    </row>
  </sheetData>
  <mergeCells count="28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B24:C24"/>
    <mergeCell ref="D24:E24"/>
    <mergeCell ref="A25:E25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24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89</v>
      </c>
      <c r="C1" s="11" t="s">
        <v>256</v>
      </c>
      <c r="D1" s="16" t="s">
        <v>383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30</v>
      </c>
      <c r="C5" s="11" t="s">
        <v>270</v>
      </c>
      <c r="D5" s="8" t="s">
        <v>405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29.25" hidden="false" customHeight="true" outlineLevel="0" collapsed="false">
      <c r="A10" s="6" t="n">
        <v>3</v>
      </c>
      <c r="B10" s="8" t="s">
        <v>399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90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79</v>
      </c>
      <c r="C18" s="11" t="s">
        <v>3</v>
      </c>
      <c r="D18" s="8" t="s">
        <v>118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32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15.75" hidden="false" customHeight="true" outlineLevel="0" collapsed="false">
      <c r="A22" s="6" t="n">
        <v>1</v>
      </c>
      <c r="B22" s="8" t="s">
        <v>396</v>
      </c>
      <c r="C22" s="8"/>
      <c r="D22" s="8" t="s">
        <v>400</v>
      </c>
      <c r="E22" s="8"/>
    </row>
    <row r="23" customFormat="false" ht="29.25" hidden="false" customHeight="true" outlineLevel="0" collapsed="false">
      <c r="A23" s="6" t="n">
        <v>2</v>
      </c>
      <c r="B23" s="8" t="s">
        <v>406</v>
      </c>
      <c r="C23" s="8"/>
      <c r="D23" s="8" t="s">
        <v>407</v>
      </c>
      <c r="E23" s="8"/>
    </row>
    <row r="24" customFormat="false" ht="29.25" hidden="false" customHeight="true" outlineLevel="0" collapsed="false">
      <c r="A24" s="6" t="n">
        <v>3</v>
      </c>
      <c r="B24" s="8" t="s">
        <v>408</v>
      </c>
      <c r="C24" s="8"/>
      <c r="D24" s="8" t="s">
        <v>402</v>
      </c>
      <c r="E24" s="8"/>
    </row>
    <row r="25" customFormat="false" ht="29.25" hidden="false" customHeight="true" outlineLevel="0" collapsed="false">
      <c r="A25" s="6" t="n">
        <v>4</v>
      </c>
      <c r="B25" s="8" t="s">
        <v>409</v>
      </c>
      <c r="C25" s="8"/>
      <c r="D25" s="16" t="s">
        <v>410</v>
      </c>
      <c r="E25" s="16"/>
    </row>
    <row r="26" customFormat="false" ht="24" hidden="false" customHeight="true" outlineLevel="0" collapsed="false">
      <c r="A26" s="24" t="s">
        <v>306</v>
      </c>
      <c r="B26" s="24"/>
      <c r="C26" s="24"/>
      <c r="D26" s="24"/>
      <c r="E26" s="24"/>
    </row>
  </sheetData>
  <mergeCells count="30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A26:E26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25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92</v>
      </c>
      <c r="C1" s="11" t="s">
        <v>256</v>
      </c>
      <c r="D1" s="16" t="s">
        <v>411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325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29.25" hidden="false" customHeight="true" outlineLevel="0" collapsed="false">
      <c r="A10" s="6" t="n">
        <v>3</v>
      </c>
      <c r="B10" s="8" t="s">
        <v>412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93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94</v>
      </c>
      <c r="C18" s="11" t="s">
        <v>3</v>
      </c>
      <c r="D18" s="8" t="s">
        <v>118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19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15.75" hidden="false" customHeight="true" outlineLevel="0" collapsed="false">
      <c r="A22" s="6" t="n">
        <v>1</v>
      </c>
      <c r="B22" s="8" t="s">
        <v>396</v>
      </c>
      <c r="C22" s="8"/>
      <c r="D22" s="8" t="s">
        <v>400</v>
      </c>
      <c r="E22" s="8"/>
    </row>
    <row r="23" customFormat="false" ht="42" hidden="false" customHeight="true" outlineLevel="0" collapsed="false">
      <c r="A23" s="6" t="n">
        <v>2</v>
      </c>
      <c r="B23" s="8" t="s">
        <v>413</v>
      </c>
      <c r="C23" s="8"/>
      <c r="D23" s="16" t="s">
        <v>414</v>
      </c>
      <c r="E23" s="16"/>
    </row>
    <row r="24" customFormat="false" ht="24" hidden="false" customHeight="true" outlineLevel="0" collapsed="false">
      <c r="A24" s="24" t="s">
        <v>306</v>
      </c>
      <c r="B24" s="24"/>
      <c r="C24" s="24"/>
      <c r="D24" s="24"/>
      <c r="E24" s="24"/>
    </row>
  </sheetData>
  <mergeCells count="26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A24:E24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26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96</v>
      </c>
      <c r="C1" s="11" t="s">
        <v>256</v>
      </c>
      <c r="D1" s="16" t="s">
        <v>411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321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283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97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94</v>
      </c>
      <c r="C18" s="11" t="s">
        <v>3</v>
      </c>
      <c r="D18" s="8" t="s">
        <v>118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32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29.25" hidden="false" customHeight="true" outlineLevel="0" collapsed="false">
      <c r="A22" s="6" t="n">
        <v>1</v>
      </c>
      <c r="B22" s="8" t="s">
        <v>415</v>
      </c>
      <c r="C22" s="8"/>
      <c r="D22" s="8" t="s">
        <v>416</v>
      </c>
      <c r="E22" s="8"/>
    </row>
    <row r="23" customFormat="false" ht="15.75" hidden="false" customHeight="true" outlineLevel="0" collapsed="false">
      <c r="A23" s="6" t="n">
        <v>2</v>
      </c>
      <c r="B23" s="8" t="s">
        <v>417</v>
      </c>
      <c r="C23" s="8"/>
      <c r="D23" s="8" t="s">
        <v>418</v>
      </c>
      <c r="E23" s="8"/>
    </row>
    <row r="24" customFormat="false" ht="29.25" hidden="false" customHeight="true" outlineLevel="0" collapsed="false">
      <c r="A24" s="6" t="n">
        <v>3</v>
      </c>
      <c r="B24" s="8" t="s">
        <v>419</v>
      </c>
      <c r="C24" s="8"/>
      <c r="D24" s="16" t="s">
        <v>420</v>
      </c>
      <c r="E24" s="16"/>
    </row>
    <row r="25" customFormat="false" ht="24" hidden="false" customHeight="true" outlineLevel="0" collapsed="false">
      <c r="A25" s="24" t="s">
        <v>306</v>
      </c>
      <c r="B25" s="24"/>
      <c r="C25" s="24"/>
      <c r="D25" s="24"/>
      <c r="E25" s="24"/>
    </row>
  </sheetData>
  <mergeCells count="28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B24:C24"/>
    <mergeCell ref="D24:E24"/>
    <mergeCell ref="A25:E25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27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99</v>
      </c>
      <c r="C1" s="11" t="s">
        <v>256</v>
      </c>
      <c r="D1" s="16" t="s">
        <v>411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405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421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100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94</v>
      </c>
      <c r="C18" s="11" t="s">
        <v>3</v>
      </c>
      <c r="D18" s="8" t="s">
        <v>118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32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15.75" hidden="false" customHeight="true" outlineLevel="0" collapsed="false">
      <c r="A22" s="6" t="n">
        <v>1</v>
      </c>
      <c r="B22" s="8" t="s">
        <v>422</v>
      </c>
      <c r="C22" s="8"/>
      <c r="D22" s="8" t="s">
        <v>423</v>
      </c>
      <c r="E22" s="8"/>
    </row>
    <row r="23" customFormat="false" ht="15.75" hidden="false" customHeight="true" outlineLevel="0" collapsed="false">
      <c r="A23" s="6" t="n">
        <v>2</v>
      </c>
      <c r="B23" s="8" t="s">
        <v>424</v>
      </c>
      <c r="C23" s="8"/>
      <c r="D23" s="8" t="s">
        <v>425</v>
      </c>
      <c r="E23" s="8"/>
    </row>
    <row r="24" customFormat="false" ht="29.25" hidden="false" customHeight="true" outlineLevel="0" collapsed="false">
      <c r="A24" s="6" t="n">
        <v>3</v>
      </c>
      <c r="B24" s="8" t="s">
        <v>422</v>
      </c>
      <c r="C24" s="8"/>
      <c r="D24" s="16" t="s">
        <v>426</v>
      </c>
      <c r="E24" s="16"/>
    </row>
    <row r="25" customFormat="false" ht="24" hidden="false" customHeight="true" outlineLevel="0" collapsed="false">
      <c r="A25" s="24" t="s">
        <v>306</v>
      </c>
      <c r="B25" s="24"/>
      <c r="C25" s="24"/>
      <c r="D25" s="24"/>
      <c r="E25" s="24"/>
    </row>
  </sheetData>
  <mergeCells count="28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B24:C24"/>
    <mergeCell ref="D24:E24"/>
    <mergeCell ref="A25:E25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28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101</v>
      </c>
      <c r="C1" s="11" t="s">
        <v>256</v>
      </c>
      <c r="D1" s="16" t="s">
        <v>411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30</v>
      </c>
      <c r="C5" s="11" t="s">
        <v>270</v>
      </c>
      <c r="D5" s="8" t="s">
        <v>325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427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102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94</v>
      </c>
      <c r="C18" s="11" t="s">
        <v>3</v>
      </c>
      <c r="D18" s="8" t="s">
        <v>118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32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15.75" hidden="false" customHeight="true" outlineLevel="0" collapsed="false">
      <c r="A22" s="6" t="n">
        <v>1</v>
      </c>
      <c r="B22" s="8" t="s">
        <v>428</v>
      </c>
      <c r="C22" s="8"/>
      <c r="D22" s="8" t="s">
        <v>429</v>
      </c>
      <c r="E22" s="8"/>
    </row>
    <row r="23" customFormat="false" ht="29.25" hidden="false" customHeight="true" outlineLevel="0" collapsed="false">
      <c r="A23" s="6" t="n">
        <v>2</v>
      </c>
      <c r="B23" s="8" t="s">
        <v>430</v>
      </c>
      <c r="C23" s="8"/>
      <c r="D23" s="16" t="s">
        <v>431</v>
      </c>
      <c r="E23" s="16"/>
    </row>
    <row r="24" customFormat="false" ht="24" hidden="false" customHeight="true" outlineLevel="0" collapsed="false">
      <c r="A24" s="24" t="s">
        <v>306</v>
      </c>
      <c r="B24" s="24"/>
      <c r="C24" s="24"/>
      <c r="D24" s="24"/>
      <c r="E24" s="24"/>
    </row>
  </sheetData>
  <mergeCells count="26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A24:E24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29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104</v>
      </c>
      <c r="C1" s="11" t="s">
        <v>256</v>
      </c>
      <c r="D1" s="16" t="s">
        <v>411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30</v>
      </c>
      <c r="C5" s="11" t="s">
        <v>270</v>
      </c>
      <c r="D5" s="8" t="s">
        <v>405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283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105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94</v>
      </c>
      <c r="C18" s="11" t="s">
        <v>3</v>
      </c>
      <c r="D18" s="8" t="s">
        <v>118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32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15.75" hidden="false" customHeight="true" outlineLevel="0" collapsed="false">
      <c r="A22" s="6" t="n">
        <v>1</v>
      </c>
      <c r="B22" s="8" t="s">
        <v>396</v>
      </c>
      <c r="C22" s="8"/>
      <c r="D22" s="8" t="s">
        <v>400</v>
      </c>
      <c r="E22" s="8"/>
    </row>
    <row r="23" customFormat="false" ht="15.75" hidden="false" customHeight="true" outlineLevel="0" collapsed="false">
      <c r="A23" s="6" t="n">
        <v>2</v>
      </c>
      <c r="B23" s="8" t="s">
        <v>432</v>
      </c>
      <c r="C23" s="8"/>
      <c r="D23" s="8" t="s">
        <v>407</v>
      </c>
      <c r="E23" s="8"/>
    </row>
    <row r="24" customFormat="false" ht="29.25" hidden="false" customHeight="true" outlineLevel="0" collapsed="false">
      <c r="A24" s="6" t="n">
        <v>3</v>
      </c>
      <c r="B24" s="8" t="s">
        <v>433</v>
      </c>
      <c r="C24" s="8"/>
      <c r="D24" s="8" t="s">
        <v>434</v>
      </c>
      <c r="E24" s="8"/>
    </row>
    <row r="25" customFormat="false" ht="42" hidden="false" customHeight="true" outlineLevel="0" collapsed="false">
      <c r="A25" s="6" t="n">
        <v>4</v>
      </c>
      <c r="B25" s="8" t="s">
        <v>435</v>
      </c>
      <c r="C25" s="8"/>
      <c r="D25" s="16" t="s">
        <v>436</v>
      </c>
      <c r="E25" s="16"/>
    </row>
    <row r="26" customFormat="false" ht="24" hidden="false" customHeight="true" outlineLevel="0" collapsed="false">
      <c r="A26" s="24" t="s">
        <v>306</v>
      </c>
      <c r="B26" s="24"/>
      <c r="C26" s="24"/>
      <c r="D26" s="24"/>
      <c r="E26" s="24"/>
    </row>
  </sheetData>
  <mergeCells count="30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A26:E26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30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112</v>
      </c>
      <c r="C1" s="11" t="s">
        <v>256</v>
      </c>
      <c r="D1" s="16" t="s">
        <v>437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30</v>
      </c>
      <c r="C5" s="11" t="s">
        <v>270</v>
      </c>
      <c r="D5" s="8" t="s">
        <v>325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283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113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114</v>
      </c>
      <c r="C18" s="11" t="s">
        <v>3</v>
      </c>
      <c r="D18" s="8" t="s">
        <v>118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32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29.25" hidden="false" customHeight="true" outlineLevel="0" collapsed="false">
      <c r="A22" s="6" t="n">
        <v>1</v>
      </c>
      <c r="B22" s="8" t="s">
        <v>438</v>
      </c>
      <c r="C22" s="8"/>
      <c r="D22" s="8" t="s">
        <v>439</v>
      </c>
      <c r="E22" s="8"/>
    </row>
    <row r="23" customFormat="false" ht="55.5" hidden="false" customHeight="true" outlineLevel="0" collapsed="false">
      <c r="A23" s="6" t="n">
        <v>2</v>
      </c>
      <c r="B23" s="8" t="s">
        <v>440</v>
      </c>
      <c r="C23" s="8"/>
      <c r="D23" s="16" t="s">
        <v>441</v>
      </c>
      <c r="E23" s="16"/>
    </row>
    <row r="24" customFormat="false" ht="24" hidden="false" customHeight="true" outlineLevel="0" collapsed="false">
      <c r="A24" s="24" t="s">
        <v>306</v>
      </c>
      <c r="B24" s="24"/>
      <c r="C24" s="24"/>
      <c r="D24" s="24"/>
      <c r="E24" s="24"/>
    </row>
  </sheetData>
  <mergeCells count="26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A24:E24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31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116</v>
      </c>
      <c r="C1" s="11" t="s">
        <v>256</v>
      </c>
      <c r="D1" s="16" t="s">
        <v>437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30</v>
      </c>
      <c r="C5" s="11" t="s">
        <v>270</v>
      </c>
      <c r="D5" s="8" t="s">
        <v>321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29.25" hidden="false" customHeight="true" outlineLevel="0" collapsed="false">
      <c r="A10" s="6" t="n">
        <v>3</v>
      </c>
      <c r="B10" s="8" t="s">
        <v>442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117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114</v>
      </c>
      <c r="C18" s="11" t="s">
        <v>3</v>
      </c>
      <c r="D18" s="8" t="s">
        <v>118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32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15.75" hidden="false" customHeight="true" outlineLevel="0" collapsed="false">
      <c r="A22" s="6" t="n">
        <v>1</v>
      </c>
      <c r="B22" s="8" t="s">
        <v>396</v>
      </c>
      <c r="C22" s="8"/>
      <c r="D22" s="8" t="s">
        <v>400</v>
      </c>
      <c r="E22" s="8"/>
    </row>
    <row r="23" customFormat="false" ht="29.25" hidden="false" customHeight="true" outlineLevel="0" collapsed="false">
      <c r="A23" s="6" t="n">
        <v>2</v>
      </c>
      <c r="B23" s="8" t="s">
        <v>443</v>
      </c>
      <c r="C23" s="8"/>
      <c r="D23" s="8" t="s">
        <v>444</v>
      </c>
      <c r="E23" s="8"/>
    </row>
    <row r="24" customFormat="false" ht="42" hidden="false" customHeight="true" outlineLevel="0" collapsed="false">
      <c r="A24" s="6" t="n">
        <v>3</v>
      </c>
      <c r="B24" s="8" t="s">
        <v>445</v>
      </c>
      <c r="C24" s="8"/>
      <c r="D24" s="16" t="s">
        <v>446</v>
      </c>
      <c r="E24" s="16"/>
    </row>
    <row r="25" customFormat="false" ht="24" hidden="false" customHeight="true" outlineLevel="0" collapsed="false">
      <c r="A25" s="24" t="s">
        <v>306</v>
      </c>
      <c r="B25" s="24"/>
      <c r="C25" s="24"/>
      <c r="D25" s="24"/>
      <c r="E25" s="24"/>
    </row>
  </sheetData>
  <mergeCells count="28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B24:C24"/>
    <mergeCell ref="D24:E24"/>
    <mergeCell ref="A25:E25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32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119</v>
      </c>
      <c r="C1" s="11" t="s">
        <v>256</v>
      </c>
      <c r="D1" s="16" t="s">
        <v>447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405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29.25" hidden="false" customHeight="true" outlineLevel="0" collapsed="false">
      <c r="A10" s="6" t="n">
        <v>3</v>
      </c>
      <c r="B10" s="8" t="s">
        <v>448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120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121</v>
      </c>
      <c r="C18" s="11" t="s">
        <v>3</v>
      </c>
      <c r="D18" s="8" t="s">
        <v>118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19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15.75" hidden="false" customHeight="true" outlineLevel="0" collapsed="false">
      <c r="A22" s="6" t="n">
        <v>1</v>
      </c>
      <c r="B22" s="8" t="s">
        <v>449</v>
      </c>
      <c r="C22" s="8"/>
      <c r="D22" s="8" t="s">
        <v>450</v>
      </c>
      <c r="E22" s="8"/>
    </row>
    <row r="23" customFormat="false" ht="15.75" hidden="false" customHeight="true" outlineLevel="0" collapsed="false">
      <c r="A23" s="6" t="n">
        <v>2</v>
      </c>
      <c r="B23" s="8" t="s">
        <v>355</v>
      </c>
      <c r="C23" s="8"/>
      <c r="D23" s="8" t="s">
        <v>451</v>
      </c>
      <c r="E23" s="8"/>
    </row>
    <row r="24" customFormat="false" ht="42" hidden="false" customHeight="true" outlineLevel="0" collapsed="false">
      <c r="A24" s="6" t="n">
        <v>3</v>
      </c>
      <c r="B24" s="8" t="s">
        <v>351</v>
      </c>
      <c r="C24" s="8"/>
      <c r="D24" s="16" t="s">
        <v>452</v>
      </c>
      <c r="E24" s="16"/>
    </row>
    <row r="25" customFormat="false" ht="24" hidden="false" customHeight="true" outlineLevel="0" collapsed="false">
      <c r="A25" s="24" t="s">
        <v>306</v>
      </c>
      <c r="B25" s="24"/>
      <c r="C25" s="24"/>
      <c r="D25" s="24"/>
      <c r="E25" s="24"/>
    </row>
  </sheetData>
  <mergeCells count="28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B24:C24"/>
    <mergeCell ref="D24:E24"/>
    <mergeCell ref="A25:E25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33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123</v>
      </c>
      <c r="C1" s="11" t="s">
        <v>256</v>
      </c>
      <c r="D1" s="16" t="s">
        <v>447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315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453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124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121</v>
      </c>
      <c r="C18" s="11" t="s">
        <v>3</v>
      </c>
      <c r="D18" s="8" t="s">
        <v>118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32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29.25" hidden="false" customHeight="true" outlineLevel="0" collapsed="false">
      <c r="A22" s="6" t="n">
        <v>1</v>
      </c>
      <c r="B22" s="8" t="s">
        <v>454</v>
      </c>
      <c r="C22" s="8"/>
      <c r="D22" s="8" t="s">
        <v>455</v>
      </c>
      <c r="E22" s="8"/>
    </row>
    <row r="23" customFormat="false" ht="29.25" hidden="false" customHeight="true" outlineLevel="0" collapsed="false">
      <c r="A23" s="6" t="n">
        <v>2</v>
      </c>
      <c r="B23" s="8" t="s">
        <v>456</v>
      </c>
      <c r="C23" s="8"/>
      <c r="D23" s="16" t="s">
        <v>457</v>
      </c>
      <c r="E23" s="16"/>
    </row>
    <row r="24" customFormat="false" ht="24" hidden="false" customHeight="true" outlineLevel="0" collapsed="false">
      <c r="A24" s="24" t="s">
        <v>306</v>
      </c>
      <c r="B24" s="24"/>
      <c r="C24" s="24"/>
      <c r="D24" s="24"/>
      <c r="E24" s="24"/>
    </row>
  </sheetData>
  <mergeCells count="26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A24:E24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34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126</v>
      </c>
      <c r="C1" s="11" t="s">
        <v>256</v>
      </c>
      <c r="D1" s="16" t="s">
        <v>447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30</v>
      </c>
      <c r="C5" s="11" t="s">
        <v>270</v>
      </c>
      <c r="D5" s="8" t="s">
        <v>321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29.25" hidden="false" customHeight="true" outlineLevel="0" collapsed="false">
      <c r="A10" s="6" t="n">
        <v>3</v>
      </c>
      <c r="B10" s="8" t="s">
        <v>458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127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121</v>
      </c>
      <c r="C18" s="11" t="s">
        <v>3</v>
      </c>
      <c r="D18" s="8" t="s">
        <v>118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32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29.25" hidden="false" customHeight="true" outlineLevel="0" collapsed="false">
      <c r="A22" s="6" t="n">
        <v>1</v>
      </c>
      <c r="B22" s="8" t="s">
        <v>459</v>
      </c>
      <c r="C22" s="8"/>
      <c r="D22" s="8" t="s">
        <v>460</v>
      </c>
      <c r="E22" s="8"/>
    </row>
    <row r="23" customFormat="false" ht="29.25" hidden="false" customHeight="true" outlineLevel="0" collapsed="false">
      <c r="A23" s="6" t="n">
        <v>2</v>
      </c>
      <c r="B23" s="8" t="s">
        <v>461</v>
      </c>
      <c r="C23" s="8"/>
      <c r="D23" s="16" t="s">
        <v>462</v>
      </c>
      <c r="E23" s="16"/>
    </row>
    <row r="24" customFormat="false" ht="24" hidden="false" customHeight="true" outlineLevel="0" collapsed="false">
      <c r="A24" s="24" t="s">
        <v>306</v>
      </c>
      <c r="B24" s="24"/>
      <c r="C24" s="24"/>
      <c r="D24" s="24"/>
      <c r="E24" s="24"/>
    </row>
  </sheetData>
  <mergeCells count="26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A24:E24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35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129</v>
      </c>
      <c r="C1" s="11" t="s">
        <v>256</v>
      </c>
      <c r="D1" s="16" t="s">
        <v>447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321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29.25" hidden="false" customHeight="true" outlineLevel="0" collapsed="false">
      <c r="A10" s="6" t="n">
        <v>3</v>
      </c>
      <c r="B10" s="8" t="s">
        <v>463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130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121</v>
      </c>
      <c r="C18" s="11" t="s">
        <v>3</v>
      </c>
      <c r="D18" s="8" t="s">
        <v>118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32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15.75" hidden="false" customHeight="true" outlineLevel="0" collapsed="false">
      <c r="A22" s="6" t="n">
        <v>1</v>
      </c>
      <c r="B22" s="8" t="s">
        <v>464</v>
      </c>
      <c r="C22" s="8"/>
      <c r="D22" s="8" t="s">
        <v>460</v>
      </c>
      <c r="E22" s="8"/>
    </row>
    <row r="23" customFormat="false" ht="42" hidden="false" customHeight="true" outlineLevel="0" collapsed="false">
      <c r="A23" s="6" t="n">
        <v>2</v>
      </c>
      <c r="B23" s="8" t="s">
        <v>465</v>
      </c>
      <c r="C23" s="8"/>
      <c r="D23" s="16" t="s">
        <v>466</v>
      </c>
      <c r="E23" s="16"/>
    </row>
    <row r="24" customFormat="false" ht="24" hidden="false" customHeight="true" outlineLevel="0" collapsed="false">
      <c r="A24" s="24" t="s">
        <v>306</v>
      </c>
      <c r="B24" s="24"/>
      <c r="C24" s="24"/>
      <c r="D24" s="24"/>
      <c r="E24" s="24"/>
    </row>
  </sheetData>
  <mergeCells count="26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A24:E24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36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132</v>
      </c>
      <c r="C1" s="11" t="s">
        <v>256</v>
      </c>
      <c r="D1" s="16" t="s">
        <v>467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30</v>
      </c>
      <c r="C5" s="11" t="s">
        <v>270</v>
      </c>
      <c r="D5" s="8" t="s">
        <v>271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468</v>
      </c>
      <c r="C10" s="8"/>
      <c r="D10" s="16" t="s">
        <v>284</v>
      </c>
      <c r="E10" s="8" t="s">
        <v>285</v>
      </c>
    </row>
    <row r="12" customFormat="false" ht="15" hidden="false" customHeight="true" outlineLevel="0" collapsed="false">
      <c r="A12" s="11" t="s">
        <v>291</v>
      </c>
      <c r="B12" s="25" t="s">
        <v>134</v>
      </c>
      <c r="C12" s="25"/>
      <c r="D12" s="25"/>
      <c r="E12" s="25"/>
    </row>
    <row r="13" customFormat="false" ht="15" hidden="false" customHeight="false" outlineLevel="0" collapsed="false">
      <c r="A13" s="11"/>
      <c r="B13" s="11"/>
      <c r="C13" s="25"/>
      <c r="D13" s="25"/>
      <c r="E13" s="25"/>
    </row>
    <row r="15" customFormat="false" ht="18" hidden="false" customHeight="true" outlineLevel="0" collapsed="false">
      <c r="A15" s="11" t="s">
        <v>292</v>
      </c>
      <c r="B15" s="8" t="s">
        <v>135</v>
      </c>
      <c r="C15" s="11" t="s">
        <v>3</v>
      </c>
      <c r="D15" s="8" t="s">
        <v>122</v>
      </c>
      <c r="E15" s="8"/>
    </row>
    <row r="16" customFormat="false" ht="27.75" hidden="false" customHeight="true" outlineLevel="0" collapsed="false">
      <c r="A16" s="11" t="s">
        <v>293</v>
      </c>
      <c r="B16" s="8" t="s">
        <v>294</v>
      </c>
      <c r="C16" s="11" t="s">
        <v>7</v>
      </c>
      <c r="D16" s="8" t="s">
        <v>32</v>
      </c>
      <c r="E16" s="8"/>
    </row>
    <row r="18" customFormat="false" ht="15" hidden="false" customHeight="true" outlineLevel="0" collapsed="false">
      <c r="A18" s="11" t="s">
        <v>295</v>
      </c>
      <c r="B18" s="11" t="s">
        <v>296</v>
      </c>
      <c r="C18" s="11"/>
      <c r="D18" s="11" t="s">
        <v>297</v>
      </c>
      <c r="E18" s="11"/>
    </row>
    <row r="19" customFormat="false" ht="29.25" hidden="false" customHeight="true" outlineLevel="0" collapsed="false">
      <c r="A19" s="6" t="n">
        <v>1</v>
      </c>
      <c r="B19" s="8" t="s">
        <v>469</v>
      </c>
      <c r="C19" s="8"/>
      <c r="D19" s="16" t="s">
        <v>470</v>
      </c>
      <c r="E19" s="16"/>
    </row>
    <row r="20" customFormat="false" ht="24" hidden="false" customHeight="true" outlineLevel="0" collapsed="false">
      <c r="A20" s="24" t="s">
        <v>306</v>
      </c>
      <c r="B20" s="24"/>
      <c r="C20" s="24"/>
      <c r="D20" s="24"/>
      <c r="E20" s="24"/>
    </row>
  </sheetData>
  <mergeCells count="21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A12:A13"/>
    <mergeCell ref="B12:E13"/>
    <mergeCell ref="D15:E15"/>
    <mergeCell ref="D16:E16"/>
    <mergeCell ref="B18:C18"/>
    <mergeCell ref="D18:E18"/>
    <mergeCell ref="B19:C19"/>
    <mergeCell ref="D19:E19"/>
    <mergeCell ref="A20:E20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37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136</v>
      </c>
      <c r="C1" s="11" t="s">
        <v>256</v>
      </c>
      <c r="D1" s="16" t="s">
        <v>467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30</v>
      </c>
      <c r="C5" s="11" t="s">
        <v>270</v>
      </c>
      <c r="D5" s="8" t="s">
        <v>325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453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137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135</v>
      </c>
      <c r="C18" s="11" t="s">
        <v>3</v>
      </c>
      <c r="D18" s="8" t="s">
        <v>122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32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29.25" hidden="false" customHeight="true" outlineLevel="0" collapsed="false">
      <c r="A22" s="6" t="n">
        <v>1</v>
      </c>
      <c r="B22" s="8" t="s">
        <v>471</v>
      </c>
      <c r="C22" s="8"/>
      <c r="D22" s="8" t="s">
        <v>472</v>
      </c>
      <c r="E22" s="8"/>
    </row>
    <row r="23" customFormat="false" ht="29.25" hidden="false" customHeight="true" outlineLevel="0" collapsed="false">
      <c r="A23" s="6" t="n">
        <v>2</v>
      </c>
      <c r="B23" s="8" t="s">
        <v>473</v>
      </c>
      <c r="C23" s="8"/>
      <c r="D23" s="8" t="s">
        <v>474</v>
      </c>
      <c r="E23" s="8"/>
    </row>
    <row r="24" customFormat="false" ht="42" hidden="false" customHeight="true" outlineLevel="0" collapsed="false">
      <c r="A24" s="6" t="n">
        <v>3</v>
      </c>
      <c r="B24" s="8" t="s">
        <v>475</v>
      </c>
      <c r="C24" s="8"/>
      <c r="D24" s="16" t="s">
        <v>476</v>
      </c>
      <c r="E24" s="16"/>
    </row>
    <row r="25" customFormat="false" ht="24" hidden="false" customHeight="true" outlineLevel="0" collapsed="false">
      <c r="A25" s="24" t="s">
        <v>306</v>
      </c>
      <c r="B25" s="24"/>
      <c r="C25" s="24"/>
      <c r="D25" s="24"/>
      <c r="E25" s="24"/>
    </row>
  </sheetData>
  <mergeCells count="28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B24:C24"/>
    <mergeCell ref="D24:E24"/>
    <mergeCell ref="A25:E25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38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139</v>
      </c>
      <c r="C1" s="11" t="s">
        <v>256</v>
      </c>
      <c r="D1" s="16" t="s">
        <v>477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325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478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140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141</v>
      </c>
      <c r="C18" s="11" t="s">
        <v>3</v>
      </c>
      <c r="D18" s="8" t="s">
        <v>122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19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15.75" hidden="false" customHeight="true" outlineLevel="0" collapsed="false">
      <c r="A22" s="6" t="n">
        <v>1</v>
      </c>
      <c r="B22" s="8" t="s">
        <v>479</v>
      </c>
      <c r="C22" s="8"/>
      <c r="D22" s="8" t="s">
        <v>480</v>
      </c>
      <c r="E22" s="8"/>
    </row>
    <row r="23" customFormat="false" ht="42" hidden="false" customHeight="true" outlineLevel="0" collapsed="false">
      <c r="A23" s="6" t="n">
        <v>2</v>
      </c>
      <c r="B23" s="8" t="s">
        <v>481</v>
      </c>
      <c r="C23" s="8"/>
      <c r="D23" s="16" t="s">
        <v>482</v>
      </c>
      <c r="E23" s="16"/>
    </row>
    <row r="24" customFormat="false" ht="24" hidden="false" customHeight="true" outlineLevel="0" collapsed="false">
      <c r="A24" s="24" t="s">
        <v>306</v>
      </c>
      <c r="B24" s="24"/>
      <c r="C24" s="24"/>
      <c r="D24" s="24"/>
      <c r="E24" s="24"/>
    </row>
  </sheetData>
  <mergeCells count="26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A24:E24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39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144</v>
      </c>
      <c r="C1" s="11" t="s">
        <v>256</v>
      </c>
      <c r="D1" s="16" t="s">
        <v>477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30</v>
      </c>
      <c r="C5" s="11" t="s">
        <v>270</v>
      </c>
      <c r="D5" s="8" t="s">
        <v>271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483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380</v>
      </c>
      <c r="E11" s="8" t="s">
        <v>288</v>
      </c>
    </row>
    <row r="13" customFormat="false" ht="15" hidden="false" customHeight="true" outlineLevel="0" collapsed="false">
      <c r="A13" s="11" t="s">
        <v>291</v>
      </c>
      <c r="B13" s="25" t="s">
        <v>145</v>
      </c>
      <c r="C13" s="25"/>
      <c r="D13" s="25"/>
      <c r="E13" s="25"/>
    </row>
    <row r="14" customFormat="false" ht="15" hidden="false" customHeight="false" outlineLevel="0" collapsed="false">
      <c r="A14" s="11"/>
      <c r="B14" s="11"/>
      <c r="C14" s="25"/>
      <c r="D14" s="25"/>
      <c r="E14" s="25"/>
    </row>
    <row r="16" customFormat="false" ht="18" hidden="false" customHeight="true" outlineLevel="0" collapsed="false">
      <c r="A16" s="11" t="s">
        <v>292</v>
      </c>
      <c r="B16" s="8" t="s">
        <v>141</v>
      </c>
      <c r="C16" s="11" t="s">
        <v>3</v>
      </c>
      <c r="D16" s="8" t="s">
        <v>122</v>
      </c>
      <c r="E16" s="8"/>
    </row>
    <row r="17" customFormat="false" ht="27.75" hidden="false" customHeight="true" outlineLevel="0" collapsed="false">
      <c r="A17" s="11" t="s">
        <v>293</v>
      </c>
      <c r="B17" s="8" t="s">
        <v>294</v>
      </c>
      <c r="C17" s="11" t="s">
        <v>7</v>
      </c>
      <c r="D17" s="8" t="s">
        <v>32</v>
      </c>
      <c r="E17" s="8"/>
    </row>
    <row r="19" customFormat="false" ht="15" hidden="false" customHeight="true" outlineLevel="0" collapsed="false">
      <c r="A19" s="11" t="s">
        <v>295</v>
      </c>
      <c r="B19" s="11" t="s">
        <v>296</v>
      </c>
      <c r="C19" s="11"/>
      <c r="D19" s="11" t="s">
        <v>297</v>
      </c>
      <c r="E19" s="11"/>
    </row>
    <row r="20" customFormat="false" ht="29.25" hidden="false" customHeight="true" outlineLevel="0" collapsed="false">
      <c r="A20" s="6" t="n">
        <v>1</v>
      </c>
      <c r="B20" s="8" t="s">
        <v>479</v>
      </c>
      <c r="C20" s="8"/>
      <c r="D20" s="16" t="s">
        <v>484</v>
      </c>
      <c r="E20" s="16"/>
    </row>
    <row r="21" customFormat="false" ht="24" hidden="false" customHeight="true" outlineLevel="0" collapsed="false">
      <c r="A21" s="24" t="s">
        <v>306</v>
      </c>
      <c r="B21" s="24"/>
      <c r="C21" s="24"/>
      <c r="D21" s="24"/>
      <c r="E21" s="24"/>
    </row>
  </sheetData>
  <mergeCells count="22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A13:A14"/>
    <mergeCell ref="B13:E14"/>
    <mergeCell ref="D16:E16"/>
    <mergeCell ref="D17:E17"/>
    <mergeCell ref="B19:C19"/>
    <mergeCell ref="D19:E19"/>
    <mergeCell ref="B20:C20"/>
    <mergeCell ref="D20:E20"/>
    <mergeCell ref="A21:E21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40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148</v>
      </c>
      <c r="C1" s="11" t="s">
        <v>256</v>
      </c>
      <c r="D1" s="16" t="s">
        <v>485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30</v>
      </c>
      <c r="C5" s="11" t="s">
        <v>270</v>
      </c>
      <c r="D5" s="8" t="s">
        <v>271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468</v>
      </c>
      <c r="C10" s="8"/>
      <c r="D10" s="16" t="s">
        <v>284</v>
      </c>
      <c r="E10" s="8" t="s">
        <v>285</v>
      </c>
    </row>
    <row r="12" customFormat="false" ht="15" hidden="false" customHeight="true" outlineLevel="0" collapsed="false">
      <c r="A12" s="11" t="s">
        <v>291</v>
      </c>
      <c r="B12" s="25" t="s">
        <v>149</v>
      </c>
      <c r="C12" s="25"/>
      <c r="D12" s="25"/>
      <c r="E12" s="25"/>
    </row>
    <row r="13" customFormat="false" ht="15" hidden="false" customHeight="false" outlineLevel="0" collapsed="false">
      <c r="A13" s="11"/>
      <c r="B13" s="11"/>
      <c r="C13" s="25"/>
      <c r="D13" s="25"/>
      <c r="E13" s="25"/>
    </row>
    <row r="15" customFormat="false" ht="18" hidden="false" customHeight="true" outlineLevel="0" collapsed="false">
      <c r="A15" s="11" t="s">
        <v>292</v>
      </c>
      <c r="B15" s="8" t="s">
        <v>150</v>
      </c>
      <c r="C15" s="11" t="s">
        <v>3</v>
      </c>
      <c r="D15" s="8" t="s">
        <v>122</v>
      </c>
      <c r="E15" s="8"/>
    </row>
    <row r="16" customFormat="false" ht="27.75" hidden="false" customHeight="true" outlineLevel="0" collapsed="false">
      <c r="A16" s="11" t="s">
        <v>293</v>
      </c>
      <c r="B16" s="8" t="s">
        <v>294</v>
      </c>
      <c r="C16" s="11" t="s">
        <v>7</v>
      </c>
      <c r="D16" s="8" t="s">
        <v>19</v>
      </c>
      <c r="E16" s="8"/>
    </row>
    <row r="18" customFormat="false" ht="15" hidden="false" customHeight="true" outlineLevel="0" collapsed="false">
      <c r="A18" s="11" t="s">
        <v>295</v>
      </c>
      <c r="B18" s="11" t="s">
        <v>296</v>
      </c>
      <c r="C18" s="11"/>
      <c r="D18" s="11" t="s">
        <v>297</v>
      </c>
      <c r="E18" s="11"/>
    </row>
    <row r="19" customFormat="false" ht="15.75" hidden="false" customHeight="true" outlineLevel="0" collapsed="false">
      <c r="A19" s="6" t="n">
        <v>1</v>
      </c>
      <c r="B19" s="8" t="s">
        <v>486</v>
      </c>
      <c r="C19" s="8"/>
      <c r="D19" s="8" t="s">
        <v>487</v>
      </c>
      <c r="E19" s="8"/>
    </row>
    <row r="20" customFormat="false" ht="42" hidden="false" customHeight="true" outlineLevel="0" collapsed="false">
      <c r="A20" s="6" t="n">
        <v>2</v>
      </c>
      <c r="B20" s="8" t="s">
        <v>488</v>
      </c>
      <c r="C20" s="8"/>
      <c r="D20" s="16" t="s">
        <v>489</v>
      </c>
      <c r="E20" s="16"/>
    </row>
    <row r="21" customFormat="false" ht="24" hidden="false" customHeight="true" outlineLevel="0" collapsed="false">
      <c r="A21" s="24" t="s">
        <v>306</v>
      </c>
      <c r="B21" s="24"/>
      <c r="C21" s="24"/>
      <c r="D21" s="24"/>
      <c r="E21" s="24"/>
    </row>
  </sheetData>
  <mergeCells count="23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A12:A13"/>
    <mergeCell ref="B12:E13"/>
    <mergeCell ref="D15:E15"/>
    <mergeCell ref="D16:E16"/>
    <mergeCell ref="B18:C18"/>
    <mergeCell ref="D18:E18"/>
    <mergeCell ref="B19:C19"/>
    <mergeCell ref="D19:E19"/>
    <mergeCell ref="B20:C20"/>
    <mergeCell ref="D20:E20"/>
    <mergeCell ref="A21:E21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41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152</v>
      </c>
      <c r="C1" s="11" t="s">
        <v>256</v>
      </c>
      <c r="D1" s="16" t="s">
        <v>485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30</v>
      </c>
      <c r="C5" s="11" t="s">
        <v>270</v>
      </c>
      <c r="D5" s="8" t="s">
        <v>315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490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153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150</v>
      </c>
      <c r="C18" s="11" t="s">
        <v>3</v>
      </c>
      <c r="D18" s="8" t="s">
        <v>122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32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15.75" hidden="false" customHeight="true" outlineLevel="0" collapsed="false">
      <c r="A22" s="6" t="n">
        <v>1</v>
      </c>
      <c r="B22" s="8" t="s">
        <v>385</v>
      </c>
      <c r="C22" s="8"/>
      <c r="D22" s="8" t="s">
        <v>386</v>
      </c>
      <c r="E22" s="8"/>
    </row>
    <row r="23" customFormat="false" ht="15.75" hidden="false" customHeight="true" outlineLevel="0" collapsed="false">
      <c r="A23" s="6" t="n">
        <v>2</v>
      </c>
      <c r="B23" s="8" t="s">
        <v>491</v>
      </c>
      <c r="C23" s="8"/>
      <c r="D23" s="8" t="s">
        <v>492</v>
      </c>
      <c r="E23" s="8"/>
    </row>
    <row r="24" customFormat="false" ht="29.25" hidden="false" customHeight="true" outlineLevel="0" collapsed="false">
      <c r="A24" s="6" t="n">
        <v>3</v>
      </c>
      <c r="B24" s="8" t="s">
        <v>493</v>
      </c>
      <c r="C24" s="8"/>
      <c r="D24" s="16" t="s">
        <v>494</v>
      </c>
      <c r="E24" s="16"/>
    </row>
    <row r="25" customFormat="false" ht="24" hidden="false" customHeight="true" outlineLevel="0" collapsed="false">
      <c r="A25" s="24" t="s">
        <v>306</v>
      </c>
      <c r="B25" s="24"/>
      <c r="C25" s="24"/>
      <c r="D25" s="24"/>
      <c r="E25" s="24"/>
    </row>
  </sheetData>
  <mergeCells count="28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B24:C24"/>
    <mergeCell ref="D24:E24"/>
    <mergeCell ref="A25:E25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42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154</v>
      </c>
      <c r="C1" s="11" t="s">
        <v>256</v>
      </c>
      <c r="D1" s="16" t="s">
        <v>495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30</v>
      </c>
      <c r="C5" s="11" t="s">
        <v>270</v>
      </c>
      <c r="D5" s="8" t="s">
        <v>271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29.25" hidden="false" customHeight="true" outlineLevel="0" collapsed="false">
      <c r="A10" s="6" t="n">
        <v>3</v>
      </c>
      <c r="B10" s="8" t="s">
        <v>496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380</v>
      </c>
      <c r="E11" s="8" t="s">
        <v>288</v>
      </c>
    </row>
    <row r="13" customFormat="false" ht="15" hidden="false" customHeight="true" outlineLevel="0" collapsed="false">
      <c r="A13" s="11" t="s">
        <v>291</v>
      </c>
      <c r="B13" s="25" t="s">
        <v>155</v>
      </c>
      <c r="C13" s="25"/>
      <c r="D13" s="25"/>
      <c r="E13" s="25"/>
    </row>
    <row r="14" customFormat="false" ht="15" hidden="false" customHeight="false" outlineLevel="0" collapsed="false">
      <c r="A14" s="11"/>
      <c r="B14" s="11"/>
      <c r="C14" s="25"/>
      <c r="D14" s="25"/>
      <c r="E14" s="25"/>
    </row>
    <row r="16" customFormat="false" ht="18" hidden="false" customHeight="true" outlineLevel="0" collapsed="false">
      <c r="A16" s="11" t="s">
        <v>292</v>
      </c>
      <c r="B16" s="8" t="s">
        <v>156</v>
      </c>
      <c r="C16" s="11" t="s">
        <v>3</v>
      </c>
      <c r="D16" s="8" t="s">
        <v>122</v>
      </c>
      <c r="E16" s="8"/>
    </row>
    <row r="17" customFormat="false" ht="27.75" hidden="false" customHeight="true" outlineLevel="0" collapsed="false">
      <c r="A17" s="11" t="s">
        <v>293</v>
      </c>
      <c r="B17" s="8" t="s">
        <v>294</v>
      </c>
      <c r="C17" s="11" t="s">
        <v>7</v>
      </c>
      <c r="D17" s="8" t="s">
        <v>19</v>
      </c>
      <c r="E17" s="8"/>
    </row>
    <row r="19" customFormat="false" ht="15" hidden="false" customHeight="true" outlineLevel="0" collapsed="false">
      <c r="A19" s="11" t="s">
        <v>295</v>
      </c>
      <c r="B19" s="11" t="s">
        <v>296</v>
      </c>
      <c r="C19" s="11"/>
      <c r="D19" s="11" t="s">
        <v>297</v>
      </c>
      <c r="E19" s="11"/>
    </row>
    <row r="20" customFormat="false" ht="29.25" hidden="false" customHeight="true" outlineLevel="0" collapsed="false">
      <c r="A20" s="6" t="n">
        <v>1</v>
      </c>
      <c r="B20" s="8" t="s">
        <v>347</v>
      </c>
      <c r="C20" s="8"/>
      <c r="D20" s="8" t="s">
        <v>348</v>
      </c>
      <c r="E20" s="8"/>
    </row>
    <row r="21" customFormat="false" ht="15.75" hidden="false" customHeight="true" outlineLevel="0" collapsed="false">
      <c r="A21" s="6" t="n">
        <v>2</v>
      </c>
      <c r="B21" s="8" t="s">
        <v>497</v>
      </c>
      <c r="C21" s="8"/>
      <c r="D21" s="8" t="s">
        <v>498</v>
      </c>
      <c r="E21" s="8"/>
    </row>
    <row r="22" customFormat="false" ht="29.25" hidden="false" customHeight="true" outlineLevel="0" collapsed="false">
      <c r="A22" s="6" t="n">
        <v>3</v>
      </c>
      <c r="B22" s="8" t="s">
        <v>351</v>
      </c>
      <c r="C22" s="8"/>
      <c r="D22" s="16" t="s">
        <v>499</v>
      </c>
      <c r="E22" s="16"/>
    </row>
    <row r="23" customFormat="false" ht="24" hidden="false" customHeight="true" outlineLevel="0" collapsed="false">
      <c r="A23" s="24" t="s">
        <v>306</v>
      </c>
      <c r="B23" s="24"/>
      <c r="C23" s="24"/>
      <c r="D23" s="24"/>
      <c r="E23" s="24"/>
    </row>
  </sheetData>
  <mergeCells count="26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A13:A14"/>
    <mergeCell ref="B13:E14"/>
    <mergeCell ref="D16:E16"/>
    <mergeCell ref="D17:E17"/>
    <mergeCell ref="B19:C19"/>
    <mergeCell ref="D19:E19"/>
    <mergeCell ref="B20:C20"/>
    <mergeCell ref="D20:E20"/>
    <mergeCell ref="B21:C21"/>
    <mergeCell ref="D21:E21"/>
    <mergeCell ref="B22:C22"/>
    <mergeCell ref="D22:E22"/>
    <mergeCell ref="A23:E23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43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157</v>
      </c>
      <c r="C1" s="11" t="s">
        <v>256</v>
      </c>
      <c r="D1" s="16" t="s">
        <v>495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158</v>
      </c>
      <c r="C5" s="11" t="s">
        <v>270</v>
      </c>
      <c r="D5" s="8" t="s">
        <v>325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29.25" hidden="false" customHeight="true" outlineLevel="0" collapsed="false">
      <c r="A10" s="6" t="n">
        <v>3</v>
      </c>
      <c r="B10" s="8" t="s">
        <v>500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380</v>
      </c>
      <c r="E11" s="8" t="s">
        <v>288</v>
      </c>
    </row>
    <row r="13" customFormat="false" ht="15" hidden="false" customHeight="true" outlineLevel="0" collapsed="false">
      <c r="A13" s="11" t="s">
        <v>291</v>
      </c>
      <c r="B13" s="25" t="s">
        <v>159</v>
      </c>
      <c r="C13" s="25"/>
      <c r="D13" s="25"/>
      <c r="E13" s="25"/>
    </row>
    <row r="14" customFormat="false" ht="15" hidden="false" customHeight="false" outlineLevel="0" collapsed="false">
      <c r="A14" s="11"/>
      <c r="B14" s="11"/>
      <c r="C14" s="25"/>
      <c r="D14" s="25"/>
      <c r="E14" s="25"/>
    </row>
    <row r="16" customFormat="false" ht="18" hidden="false" customHeight="true" outlineLevel="0" collapsed="false">
      <c r="A16" s="11" t="s">
        <v>292</v>
      </c>
      <c r="B16" s="8" t="s">
        <v>156</v>
      </c>
      <c r="C16" s="11" t="s">
        <v>3</v>
      </c>
      <c r="D16" s="8" t="s">
        <v>122</v>
      </c>
      <c r="E16" s="8"/>
    </row>
    <row r="17" customFormat="false" ht="27.75" hidden="false" customHeight="true" outlineLevel="0" collapsed="false">
      <c r="A17" s="11" t="s">
        <v>293</v>
      </c>
      <c r="B17" s="8" t="s">
        <v>294</v>
      </c>
      <c r="C17" s="11" t="s">
        <v>7</v>
      </c>
      <c r="D17" s="8" t="s">
        <v>32</v>
      </c>
      <c r="E17" s="8"/>
    </row>
    <row r="19" customFormat="false" ht="15" hidden="false" customHeight="true" outlineLevel="0" collapsed="false">
      <c r="A19" s="11" t="s">
        <v>295</v>
      </c>
      <c r="B19" s="11" t="s">
        <v>296</v>
      </c>
      <c r="C19" s="11"/>
      <c r="D19" s="11" t="s">
        <v>297</v>
      </c>
      <c r="E19" s="11"/>
    </row>
    <row r="20" customFormat="false" ht="29.25" hidden="false" customHeight="true" outlineLevel="0" collapsed="false">
      <c r="A20" s="6" t="n">
        <v>1</v>
      </c>
      <c r="B20" s="8" t="s">
        <v>501</v>
      </c>
      <c r="C20" s="8"/>
      <c r="D20" s="8" t="s">
        <v>502</v>
      </c>
      <c r="E20" s="8"/>
    </row>
    <row r="21" customFormat="false" ht="29.25" hidden="false" customHeight="true" outlineLevel="0" collapsed="false">
      <c r="A21" s="6" t="n">
        <v>2</v>
      </c>
      <c r="B21" s="8" t="s">
        <v>503</v>
      </c>
      <c r="C21" s="8"/>
      <c r="D21" s="16" t="s">
        <v>504</v>
      </c>
      <c r="E21" s="16"/>
    </row>
    <row r="22" customFormat="false" ht="24" hidden="false" customHeight="true" outlineLevel="0" collapsed="false">
      <c r="A22" s="24" t="s">
        <v>306</v>
      </c>
      <c r="B22" s="24"/>
      <c r="C22" s="24"/>
      <c r="D22" s="24"/>
      <c r="E22" s="24"/>
    </row>
  </sheetData>
  <mergeCells count="24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A13:A14"/>
    <mergeCell ref="B13:E14"/>
    <mergeCell ref="D16:E16"/>
    <mergeCell ref="D17:E17"/>
    <mergeCell ref="B19:C19"/>
    <mergeCell ref="D19:E19"/>
    <mergeCell ref="B20:C20"/>
    <mergeCell ref="D20:E20"/>
    <mergeCell ref="B21:C21"/>
    <mergeCell ref="D21:E21"/>
    <mergeCell ref="A22:E22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44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160</v>
      </c>
      <c r="C1" s="11" t="s">
        <v>256</v>
      </c>
      <c r="D1" s="16" t="s">
        <v>505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30</v>
      </c>
      <c r="C5" s="11" t="s">
        <v>270</v>
      </c>
      <c r="D5" s="8" t="s">
        <v>325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283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161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162</v>
      </c>
      <c r="C18" s="11" t="s">
        <v>3</v>
      </c>
      <c r="D18" s="8" t="s">
        <v>122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32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29.25" hidden="false" customHeight="true" outlineLevel="0" collapsed="false">
      <c r="A22" s="6" t="n">
        <v>1</v>
      </c>
      <c r="B22" s="8" t="s">
        <v>506</v>
      </c>
      <c r="C22" s="8"/>
      <c r="D22" s="8" t="s">
        <v>507</v>
      </c>
      <c r="E22" s="8"/>
    </row>
    <row r="23" customFormat="false" ht="69" hidden="false" customHeight="true" outlineLevel="0" collapsed="false">
      <c r="A23" s="6" t="n">
        <v>2</v>
      </c>
      <c r="B23" s="8" t="s">
        <v>508</v>
      </c>
      <c r="C23" s="8"/>
      <c r="D23" s="16" t="s">
        <v>509</v>
      </c>
      <c r="E23" s="16"/>
    </row>
    <row r="24" customFormat="false" ht="24" hidden="false" customHeight="true" outlineLevel="0" collapsed="false">
      <c r="A24" s="24" t="s">
        <v>306</v>
      </c>
      <c r="B24" s="24"/>
      <c r="C24" s="24"/>
      <c r="D24" s="24"/>
      <c r="E24" s="24"/>
    </row>
  </sheetData>
  <mergeCells count="26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A24:E24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45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163</v>
      </c>
      <c r="C1" s="11" t="s">
        <v>256</v>
      </c>
      <c r="D1" s="16" t="s">
        <v>505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30</v>
      </c>
      <c r="C5" s="11" t="s">
        <v>270</v>
      </c>
      <c r="D5" s="8" t="s">
        <v>325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283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164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162</v>
      </c>
      <c r="C18" s="11" t="s">
        <v>3</v>
      </c>
      <c r="D18" s="8" t="s">
        <v>122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32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15.75" hidden="false" customHeight="true" outlineLevel="0" collapsed="false">
      <c r="A22" s="6" t="n">
        <v>1</v>
      </c>
      <c r="B22" s="8" t="s">
        <v>510</v>
      </c>
      <c r="C22" s="8"/>
      <c r="D22" s="8" t="s">
        <v>511</v>
      </c>
      <c r="E22" s="8"/>
    </row>
    <row r="23" customFormat="false" ht="29.25" hidden="false" customHeight="true" outlineLevel="0" collapsed="false">
      <c r="A23" s="6" t="n">
        <v>2</v>
      </c>
      <c r="B23" s="8" t="s">
        <v>512</v>
      </c>
      <c r="C23" s="8"/>
      <c r="D23" s="16" t="s">
        <v>513</v>
      </c>
      <c r="E23" s="16"/>
    </row>
    <row r="24" customFormat="false" ht="24" hidden="false" customHeight="true" outlineLevel="0" collapsed="false">
      <c r="A24" s="24" t="s">
        <v>306</v>
      </c>
      <c r="B24" s="24"/>
      <c r="C24" s="24"/>
      <c r="D24" s="24"/>
      <c r="E24" s="24"/>
    </row>
  </sheetData>
  <mergeCells count="26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A24:E24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46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165</v>
      </c>
      <c r="C1" s="11" t="s">
        <v>256</v>
      </c>
      <c r="D1" s="16" t="s">
        <v>505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30</v>
      </c>
      <c r="C5" s="11" t="s">
        <v>270</v>
      </c>
      <c r="D5" s="8" t="s">
        <v>325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29.25" hidden="false" customHeight="true" outlineLevel="0" collapsed="false">
      <c r="A10" s="6" t="n">
        <v>3</v>
      </c>
      <c r="B10" s="8" t="s">
        <v>514</v>
      </c>
      <c r="C10" s="8"/>
      <c r="D10" s="16" t="s">
        <v>284</v>
      </c>
      <c r="E10" s="8" t="s">
        <v>285</v>
      </c>
    </row>
    <row r="12" customFormat="false" ht="15" hidden="false" customHeight="true" outlineLevel="0" collapsed="false">
      <c r="A12" s="11" t="s">
        <v>291</v>
      </c>
      <c r="B12" s="25" t="s">
        <v>166</v>
      </c>
      <c r="C12" s="25"/>
      <c r="D12" s="25"/>
      <c r="E12" s="25"/>
    </row>
    <row r="13" customFormat="false" ht="15" hidden="false" customHeight="false" outlineLevel="0" collapsed="false">
      <c r="A13" s="11"/>
      <c r="B13" s="11"/>
      <c r="C13" s="25"/>
      <c r="D13" s="25"/>
      <c r="E13" s="25"/>
    </row>
    <row r="15" customFormat="false" ht="18" hidden="false" customHeight="true" outlineLevel="0" collapsed="false">
      <c r="A15" s="11" t="s">
        <v>292</v>
      </c>
      <c r="B15" s="8" t="s">
        <v>162</v>
      </c>
      <c r="C15" s="11" t="s">
        <v>3</v>
      </c>
      <c r="D15" s="8" t="s">
        <v>122</v>
      </c>
      <c r="E15" s="8"/>
    </row>
    <row r="16" customFormat="false" ht="27.75" hidden="false" customHeight="true" outlineLevel="0" collapsed="false">
      <c r="A16" s="11" t="s">
        <v>293</v>
      </c>
      <c r="B16" s="8" t="s">
        <v>294</v>
      </c>
      <c r="C16" s="11" t="s">
        <v>7</v>
      </c>
      <c r="D16" s="8" t="s">
        <v>32</v>
      </c>
      <c r="E16" s="8"/>
    </row>
    <row r="18" customFormat="false" ht="15" hidden="false" customHeight="true" outlineLevel="0" collapsed="false">
      <c r="A18" s="11" t="s">
        <v>295</v>
      </c>
      <c r="B18" s="11" t="s">
        <v>296</v>
      </c>
      <c r="C18" s="11"/>
      <c r="D18" s="11" t="s">
        <v>297</v>
      </c>
      <c r="E18" s="11"/>
    </row>
    <row r="19" customFormat="false" ht="15.75" hidden="false" customHeight="true" outlineLevel="0" collapsed="false">
      <c r="A19" s="6" t="n">
        <v>1</v>
      </c>
      <c r="B19" s="8" t="s">
        <v>515</v>
      </c>
      <c r="C19" s="8"/>
      <c r="D19" s="8" t="s">
        <v>516</v>
      </c>
      <c r="E19" s="8"/>
    </row>
    <row r="20" customFormat="false" ht="42" hidden="false" customHeight="true" outlineLevel="0" collapsed="false">
      <c r="A20" s="6" t="n">
        <v>2</v>
      </c>
      <c r="B20" s="8" t="s">
        <v>517</v>
      </c>
      <c r="C20" s="8"/>
      <c r="D20" s="16" t="s">
        <v>518</v>
      </c>
      <c r="E20" s="16"/>
    </row>
    <row r="21" customFormat="false" ht="24" hidden="false" customHeight="true" outlineLevel="0" collapsed="false">
      <c r="A21" s="24" t="s">
        <v>306</v>
      </c>
      <c r="B21" s="24"/>
      <c r="C21" s="24"/>
      <c r="D21" s="24"/>
      <c r="E21" s="24"/>
    </row>
  </sheetData>
  <mergeCells count="23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A12:A13"/>
    <mergeCell ref="B12:E13"/>
    <mergeCell ref="D15:E15"/>
    <mergeCell ref="D16:E16"/>
    <mergeCell ref="B18:C18"/>
    <mergeCell ref="D18:E18"/>
    <mergeCell ref="B19:C19"/>
    <mergeCell ref="D19:E19"/>
    <mergeCell ref="B20:C20"/>
    <mergeCell ref="D20:E20"/>
    <mergeCell ref="A21:E21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47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167</v>
      </c>
      <c r="C1" s="11" t="s">
        <v>256</v>
      </c>
      <c r="D1" s="16" t="s">
        <v>505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30</v>
      </c>
      <c r="C5" s="11" t="s">
        <v>270</v>
      </c>
      <c r="D5" s="8" t="s">
        <v>325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519</v>
      </c>
      <c r="C10" s="8"/>
      <c r="D10" s="16" t="s">
        <v>284</v>
      </c>
      <c r="E10" s="8" t="s">
        <v>285</v>
      </c>
    </row>
    <row r="12" customFormat="false" ht="15" hidden="false" customHeight="true" outlineLevel="0" collapsed="false">
      <c r="A12" s="11" t="s">
        <v>291</v>
      </c>
      <c r="B12" s="25" t="s">
        <v>168</v>
      </c>
      <c r="C12" s="25"/>
      <c r="D12" s="25"/>
      <c r="E12" s="25"/>
    </row>
    <row r="13" customFormat="false" ht="15" hidden="false" customHeight="false" outlineLevel="0" collapsed="false">
      <c r="A13" s="11"/>
      <c r="B13" s="11"/>
      <c r="C13" s="25"/>
      <c r="D13" s="25"/>
      <c r="E13" s="25"/>
    </row>
    <row r="15" customFormat="false" ht="18" hidden="false" customHeight="true" outlineLevel="0" collapsed="false">
      <c r="A15" s="11" t="s">
        <v>292</v>
      </c>
      <c r="B15" s="8" t="s">
        <v>162</v>
      </c>
      <c r="C15" s="11" t="s">
        <v>3</v>
      </c>
      <c r="D15" s="8" t="s">
        <v>122</v>
      </c>
      <c r="E15" s="8"/>
    </row>
    <row r="16" customFormat="false" ht="27.75" hidden="false" customHeight="true" outlineLevel="0" collapsed="false">
      <c r="A16" s="11" t="s">
        <v>293</v>
      </c>
      <c r="B16" s="8" t="s">
        <v>294</v>
      </c>
      <c r="C16" s="11" t="s">
        <v>7</v>
      </c>
      <c r="D16" s="8" t="s">
        <v>32</v>
      </c>
      <c r="E16" s="8"/>
    </row>
    <row r="18" customFormat="false" ht="15" hidden="false" customHeight="true" outlineLevel="0" collapsed="false">
      <c r="A18" s="11" t="s">
        <v>295</v>
      </c>
      <c r="B18" s="11" t="s">
        <v>296</v>
      </c>
      <c r="C18" s="11"/>
      <c r="D18" s="11" t="s">
        <v>297</v>
      </c>
      <c r="E18" s="11"/>
    </row>
    <row r="19" customFormat="false" ht="29.25" hidden="false" customHeight="true" outlineLevel="0" collapsed="false">
      <c r="A19" s="6" t="n">
        <v>1</v>
      </c>
      <c r="B19" s="8" t="s">
        <v>520</v>
      </c>
      <c r="C19" s="8"/>
      <c r="D19" s="16" t="s">
        <v>521</v>
      </c>
      <c r="E19" s="16"/>
    </row>
    <row r="20" customFormat="false" ht="24" hidden="false" customHeight="true" outlineLevel="0" collapsed="false">
      <c r="A20" s="24" t="s">
        <v>306</v>
      </c>
      <c r="B20" s="24"/>
      <c r="C20" s="24"/>
      <c r="D20" s="24"/>
      <c r="E20" s="24"/>
    </row>
  </sheetData>
  <mergeCells count="21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A12:A13"/>
    <mergeCell ref="B12:E13"/>
    <mergeCell ref="D15:E15"/>
    <mergeCell ref="D16:E16"/>
    <mergeCell ref="B18:C18"/>
    <mergeCell ref="D18:E18"/>
    <mergeCell ref="B19:C19"/>
    <mergeCell ref="D19:E19"/>
    <mergeCell ref="A20:E20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48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169</v>
      </c>
      <c r="C1" s="11" t="s">
        <v>256</v>
      </c>
      <c r="D1" s="16" t="s">
        <v>522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158</v>
      </c>
      <c r="C5" s="11" t="s">
        <v>270</v>
      </c>
      <c r="D5" s="8" t="s">
        <v>325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468</v>
      </c>
      <c r="C10" s="8"/>
      <c r="D10" s="16" t="s">
        <v>284</v>
      </c>
      <c r="E10" s="8" t="s">
        <v>285</v>
      </c>
    </row>
    <row r="12" customFormat="false" ht="15" hidden="false" customHeight="true" outlineLevel="0" collapsed="false">
      <c r="A12" s="11" t="s">
        <v>291</v>
      </c>
      <c r="B12" s="25" t="s">
        <v>170</v>
      </c>
      <c r="C12" s="25"/>
      <c r="D12" s="25"/>
      <c r="E12" s="25"/>
    </row>
    <row r="13" customFormat="false" ht="15" hidden="false" customHeight="false" outlineLevel="0" collapsed="false">
      <c r="A13" s="11"/>
      <c r="B13" s="11"/>
      <c r="C13" s="25"/>
      <c r="D13" s="25"/>
      <c r="E13" s="25"/>
    </row>
    <row r="15" customFormat="false" ht="18" hidden="false" customHeight="true" outlineLevel="0" collapsed="false">
      <c r="A15" s="11" t="s">
        <v>292</v>
      </c>
      <c r="B15" s="8" t="s">
        <v>171</v>
      </c>
      <c r="C15" s="11" t="s">
        <v>3</v>
      </c>
      <c r="D15" s="8" t="s">
        <v>122</v>
      </c>
      <c r="E15" s="8"/>
    </row>
    <row r="16" customFormat="false" ht="27.75" hidden="false" customHeight="true" outlineLevel="0" collapsed="false">
      <c r="A16" s="11" t="s">
        <v>293</v>
      </c>
      <c r="B16" s="8" t="s">
        <v>294</v>
      </c>
      <c r="C16" s="11" t="s">
        <v>7</v>
      </c>
      <c r="D16" s="8" t="s">
        <v>32</v>
      </c>
      <c r="E16" s="8"/>
    </row>
    <row r="18" customFormat="false" ht="15" hidden="false" customHeight="true" outlineLevel="0" collapsed="false">
      <c r="A18" s="11" t="s">
        <v>295</v>
      </c>
      <c r="B18" s="11" t="s">
        <v>296</v>
      </c>
      <c r="C18" s="11"/>
      <c r="D18" s="11" t="s">
        <v>297</v>
      </c>
      <c r="E18" s="11"/>
    </row>
    <row r="19" customFormat="false" ht="29.25" hidden="false" customHeight="true" outlineLevel="0" collapsed="false">
      <c r="A19" s="6" t="n">
        <v>1</v>
      </c>
      <c r="B19" s="8" t="s">
        <v>523</v>
      </c>
      <c r="C19" s="8"/>
      <c r="D19" s="8" t="s">
        <v>524</v>
      </c>
      <c r="E19" s="8"/>
    </row>
    <row r="20" customFormat="false" ht="15.75" hidden="false" customHeight="true" outlineLevel="0" collapsed="false">
      <c r="A20" s="6" t="n">
        <v>2</v>
      </c>
      <c r="B20" s="8" t="s">
        <v>525</v>
      </c>
      <c r="C20" s="8"/>
      <c r="D20" s="8" t="s">
        <v>526</v>
      </c>
      <c r="E20" s="8"/>
    </row>
    <row r="21" customFormat="false" ht="29.25" hidden="false" customHeight="true" outlineLevel="0" collapsed="false">
      <c r="A21" s="6" t="n">
        <v>3</v>
      </c>
      <c r="B21" s="8" t="s">
        <v>527</v>
      </c>
      <c r="C21" s="8"/>
      <c r="D21" s="8" t="s">
        <v>528</v>
      </c>
      <c r="E21" s="8"/>
    </row>
    <row r="22" customFormat="false" ht="55.5" hidden="false" customHeight="true" outlineLevel="0" collapsed="false">
      <c r="A22" s="6" t="n">
        <v>4</v>
      </c>
      <c r="B22" s="8" t="s">
        <v>529</v>
      </c>
      <c r="C22" s="8"/>
      <c r="D22" s="16" t="s">
        <v>530</v>
      </c>
      <c r="E22" s="16"/>
    </row>
    <row r="23" customFormat="false" ht="24" hidden="false" customHeight="true" outlineLevel="0" collapsed="false">
      <c r="A23" s="24" t="s">
        <v>306</v>
      </c>
      <c r="B23" s="24"/>
      <c r="C23" s="24"/>
      <c r="D23" s="24"/>
      <c r="E23" s="24"/>
    </row>
  </sheetData>
  <mergeCells count="27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A12:A13"/>
    <mergeCell ref="B12:E13"/>
    <mergeCell ref="D15:E15"/>
    <mergeCell ref="D16:E16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A23:E23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49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172</v>
      </c>
      <c r="C1" s="11" t="s">
        <v>256</v>
      </c>
      <c r="D1" s="16" t="s">
        <v>531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271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532</v>
      </c>
      <c r="C10" s="8"/>
      <c r="D10" s="16" t="s">
        <v>284</v>
      </c>
      <c r="E10" s="8" t="s">
        <v>285</v>
      </c>
    </row>
    <row r="12" customFormat="false" ht="15" hidden="false" customHeight="true" outlineLevel="0" collapsed="false">
      <c r="A12" s="11" t="s">
        <v>291</v>
      </c>
      <c r="B12" s="25" t="s">
        <v>174</v>
      </c>
      <c r="C12" s="25"/>
      <c r="D12" s="25"/>
      <c r="E12" s="25"/>
    </row>
    <row r="13" customFormat="false" ht="15" hidden="false" customHeight="false" outlineLevel="0" collapsed="false">
      <c r="A13" s="11"/>
      <c r="B13" s="11"/>
      <c r="C13" s="25"/>
      <c r="D13" s="25"/>
      <c r="E13" s="25"/>
    </row>
    <row r="15" customFormat="false" ht="18" hidden="false" customHeight="true" outlineLevel="0" collapsed="false">
      <c r="A15" s="11" t="s">
        <v>292</v>
      </c>
      <c r="B15" s="8" t="s">
        <v>175</v>
      </c>
      <c r="C15" s="11" t="s">
        <v>3</v>
      </c>
      <c r="D15" s="8" t="s">
        <v>125</v>
      </c>
      <c r="E15" s="8"/>
    </row>
    <row r="16" customFormat="false" ht="27.75" hidden="false" customHeight="true" outlineLevel="0" collapsed="false">
      <c r="A16" s="11" t="s">
        <v>293</v>
      </c>
      <c r="B16" s="8" t="s">
        <v>294</v>
      </c>
      <c r="C16" s="11" t="s">
        <v>7</v>
      </c>
      <c r="D16" s="8" t="s">
        <v>19</v>
      </c>
      <c r="E16" s="8"/>
    </row>
    <row r="18" customFormat="false" ht="15" hidden="false" customHeight="true" outlineLevel="0" collapsed="false">
      <c r="A18" s="11" t="s">
        <v>295</v>
      </c>
      <c r="B18" s="11" t="s">
        <v>296</v>
      </c>
      <c r="C18" s="11"/>
      <c r="D18" s="11" t="s">
        <v>297</v>
      </c>
      <c r="E18" s="11"/>
    </row>
    <row r="19" customFormat="false" ht="29.25" hidden="false" customHeight="true" outlineLevel="0" collapsed="false">
      <c r="A19" s="6" t="n">
        <v>1</v>
      </c>
      <c r="B19" s="8" t="s">
        <v>533</v>
      </c>
      <c r="C19" s="8"/>
      <c r="D19" s="8" t="s">
        <v>534</v>
      </c>
      <c r="E19" s="8"/>
    </row>
    <row r="20" customFormat="false" ht="95.25" hidden="false" customHeight="true" outlineLevel="0" collapsed="false">
      <c r="A20" s="6" t="n">
        <v>2</v>
      </c>
      <c r="B20" s="8" t="s">
        <v>535</v>
      </c>
      <c r="C20" s="8"/>
      <c r="D20" s="16" t="s">
        <v>536</v>
      </c>
      <c r="E20" s="16"/>
    </row>
    <row r="21" customFormat="false" ht="24" hidden="false" customHeight="true" outlineLevel="0" collapsed="false">
      <c r="A21" s="24" t="s">
        <v>306</v>
      </c>
      <c r="B21" s="24"/>
      <c r="C21" s="24"/>
      <c r="D21" s="24"/>
      <c r="E21" s="24"/>
    </row>
  </sheetData>
  <mergeCells count="23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A12:A13"/>
    <mergeCell ref="B12:E13"/>
    <mergeCell ref="D15:E15"/>
    <mergeCell ref="D16:E16"/>
    <mergeCell ref="B18:C18"/>
    <mergeCell ref="D18:E18"/>
    <mergeCell ref="B19:C19"/>
    <mergeCell ref="D19:E19"/>
    <mergeCell ref="B20:C20"/>
    <mergeCell ref="D20:E20"/>
    <mergeCell ref="A21:E21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50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176</v>
      </c>
      <c r="C1" s="11" t="s">
        <v>256</v>
      </c>
      <c r="D1" s="16" t="s">
        <v>531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30</v>
      </c>
      <c r="C5" s="11" t="s">
        <v>270</v>
      </c>
      <c r="D5" s="8" t="s">
        <v>315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29.25" hidden="false" customHeight="true" outlineLevel="0" collapsed="false">
      <c r="A10" s="6" t="n">
        <v>3</v>
      </c>
      <c r="B10" s="8" t="s">
        <v>537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380</v>
      </c>
      <c r="E11" s="8" t="s">
        <v>261</v>
      </c>
    </row>
    <row r="13" customFormat="false" ht="15" hidden="false" customHeight="true" outlineLevel="0" collapsed="false">
      <c r="A13" s="11" t="s">
        <v>291</v>
      </c>
      <c r="B13" s="25" t="s">
        <v>177</v>
      </c>
      <c r="C13" s="25"/>
      <c r="D13" s="25"/>
      <c r="E13" s="25"/>
    </row>
    <row r="14" customFormat="false" ht="15" hidden="false" customHeight="false" outlineLevel="0" collapsed="false">
      <c r="A14" s="11"/>
      <c r="B14" s="11"/>
      <c r="C14" s="25"/>
      <c r="D14" s="25"/>
      <c r="E14" s="25"/>
    </row>
    <row r="16" customFormat="false" ht="18" hidden="false" customHeight="true" outlineLevel="0" collapsed="false">
      <c r="A16" s="11" t="s">
        <v>292</v>
      </c>
      <c r="B16" s="8" t="s">
        <v>175</v>
      </c>
      <c r="C16" s="11" t="s">
        <v>3</v>
      </c>
      <c r="D16" s="8" t="s">
        <v>125</v>
      </c>
      <c r="E16" s="8"/>
    </row>
    <row r="17" customFormat="false" ht="27.75" hidden="false" customHeight="true" outlineLevel="0" collapsed="false">
      <c r="A17" s="11" t="s">
        <v>293</v>
      </c>
      <c r="B17" s="8" t="s">
        <v>294</v>
      </c>
      <c r="C17" s="11" t="s">
        <v>7</v>
      </c>
      <c r="D17" s="8" t="s">
        <v>32</v>
      </c>
      <c r="E17" s="8"/>
    </row>
    <row r="19" customFormat="false" ht="15" hidden="false" customHeight="true" outlineLevel="0" collapsed="false">
      <c r="A19" s="11" t="s">
        <v>295</v>
      </c>
      <c r="B19" s="11" t="s">
        <v>296</v>
      </c>
      <c r="C19" s="11"/>
      <c r="D19" s="11" t="s">
        <v>297</v>
      </c>
      <c r="E19" s="11"/>
    </row>
    <row r="20" customFormat="false" ht="15.75" hidden="false" customHeight="true" outlineLevel="0" collapsed="false">
      <c r="A20" s="6" t="n">
        <v>1</v>
      </c>
      <c r="B20" s="8" t="s">
        <v>538</v>
      </c>
      <c r="C20" s="8"/>
      <c r="D20" s="8" t="s">
        <v>539</v>
      </c>
      <c r="E20" s="8"/>
    </row>
    <row r="21" customFormat="false" ht="42" hidden="false" customHeight="true" outlineLevel="0" collapsed="false">
      <c r="A21" s="6" t="n">
        <v>2</v>
      </c>
      <c r="B21" s="8" t="s">
        <v>540</v>
      </c>
      <c r="C21" s="8"/>
      <c r="D21" s="16" t="s">
        <v>541</v>
      </c>
      <c r="E21" s="16"/>
    </row>
    <row r="22" customFormat="false" ht="24" hidden="false" customHeight="true" outlineLevel="0" collapsed="false">
      <c r="A22" s="24" t="s">
        <v>306</v>
      </c>
      <c r="B22" s="24"/>
      <c r="C22" s="24"/>
      <c r="D22" s="24"/>
      <c r="E22" s="24"/>
    </row>
  </sheetData>
  <mergeCells count="24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A13:A14"/>
    <mergeCell ref="B13:E14"/>
    <mergeCell ref="D16:E16"/>
    <mergeCell ref="D17:E17"/>
    <mergeCell ref="B19:C19"/>
    <mergeCell ref="D19:E19"/>
    <mergeCell ref="B20:C20"/>
    <mergeCell ref="D20:E20"/>
    <mergeCell ref="B21:C21"/>
    <mergeCell ref="D21:E21"/>
    <mergeCell ref="A22:E22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51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178</v>
      </c>
      <c r="C1" s="11" t="s">
        <v>256</v>
      </c>
      <c r="D1" s="16" t="s">
        <v>542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271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283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179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180</v>
      </c>
      <c r="C18" s="11" t="s">
        <v>3</v>
      </c>
      <c r="D18" s="8" t="s">
        <v>125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32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29.25" hidden="false" customHeight="true" outlineLevel="0" collapsed="false">
      <c r="A22" s="6" t="n">
        <v>1</v>
      </c>
      <c r="B22" s="8" t="s">
        <v>543</v>
      </c>
      <c r="C22" s="8"/>
      <c r="D22" s="8" t="s">
        <v>544</v>
      </c>
      <c r="E22" s="8"/>
    </row>
    <row r="23" customFormat="false" ht="55.5" hidden="false" customHeight="true" outlineLevel="0" collapsed="false">
      <c r="A23" s="6" t="n">
        <v>2</v>
      </c>
      <c r="B23" s="8" t="s">
        <v>545</v>
      </c>
      <c r="C23" s="8"/>
      <c r="D23" s="16" t="s">
        <v>546</v>
      </c>
      <c r="E23" s="16"/>
    </row>
    <row r="24" customFormat="false" ht="24" hidden="false" customHeight="true" outlineLevel="0" collapsed="false">
      <c r="A24" s="24" t="s">
        <v>306</v>
      </c>
      <c r="B24" s="24"/>
      <c r="C24" s="24"/>
      <c r="D24" s="24"/>
      <c r="E24" s="24"/>
    </row>
  </sheetData>
  <mergeCells count="26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A24:E24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52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181</v>
      </c>
      <c r="C1" s="11" t="s">
        <v>256</v>
      </c>
      <c r="D1" s="16" t="s">
        <v>542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271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283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182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180</v>
      </c>
      <c r="C18" s="11" t="s">
        <v>3</v>
      </c>
      <c r="D18" s="8" t="s">
        <v>125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32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29.25" hidden="false" customHeight="true" outlineLevel="0" collapsed="false">
      <c r="A22" s="6" t="n">
        <v>1</v>
      </c>
      <c r="B22" s="8" t="s">
        <v>547</v>
      </c>
      <c r="C22" s="8"/>
      <c r="D22" s="8" t="s">
        <v>548</v>
      </c>
      <c r="E22" s="8"/>
    </row>
    <row r="23" customFormat="false" ht="29.25" hidden="false" customHeight="true" outlineLevel="0" collapsed="false">
      <c r="A23" s="6" t="n">
        <v>2</v>
      </c>
      <c r="B23" s="8" t="s">
        <v>549</v>
      </c>
      <c r="C23" s="8"/>
      <c r="D23" s="16" t="s">
        <v>550</v>
      </c>
      <c r="E23" s="16"/>
    </row>
    <row r="24" customFormat="false" ht="24" hidden="false" customHeight="true" outlineLevel="0" collapsed="false">
      <c r="A24" s="24" t="s">
        <v>306</v>
      </c>
      <c r="B24" s="24"/>
      <c r="C24" s="24"/>
      <c r="D24" s="24"/>
      <c r="E24" s="24"/>
    </row>
  </sheetData>
  <mergeCells count="26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A24:E24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53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183</v>
      </c>
      <c r="C1" s="11" t="s">
        <v>256</v>
      </c>
      <c r="D1" s="16" t="s">
        <v>551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271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552</v>
      </c>
      <c r="C10" s="8"/>
      <c r="D10" s="16" t="s">
        <v>284</v>
      </c>
      <c r="E10" s="8" t="s">
        <v>285</v>
      </c>
    </row>
    <row r="12" customFormat="false" ht="15" hidden="false" customHeight="true" outlineLevel="0" collapsed="false">
      <c r="A12" s="11" t="s">
        <v>291</v>
      </c>
      <c r="B12" s="25" t="s">
        <v>184</v>
      </c>
      <c r="C12" s="25"/>
      <c r="D12" s="25"/>
      <c r="E12" s="25"/>
    </row>
    <row r="13" customFormat="false" ht="15" hidden="false" customHeight="false" outlineLevel="0" collapsed="false">
      <c r="A13" s="11"/>
      <c r="B13" s="11"/>
      <c r="C13" s="25"/>
      <c r="D13" s="25"/>
      <c r="E13" s="25"/>
    </row>
    <row r="15" customFormat="false" ht="18" hidden="false" customHeight="true" outlineLevel="0" collapsed="false">
      <c r="A15" s="11" t="s">
        <v>292</v>
      </c>
      <c r="B15" s="8" t="s">
        <v>185</v>
      </c>
      <c r="C15" s="11" t="s">
        <v>3</v>
      </c>
      <c r="D15" s="8" t="s">
        <v>125</v>
      </c>
      <c r="E15" s="8"/>
    </row>
    <row r="16" customFormat="false" ht="27.75" hidden="false" customHeight="true" outlineLevel="0" collapsed="false">
      <c r="A16" s="11" t="s">
        <v>293</v>
      </c>
      <c r="B16" s="8" t="s">
        <v>294</v>
      </c>
      <c r="C16" s="11" t="s">
        <v>7</v>
      </c>
      <c r="D16" s="8" t="s">
        <v>32</v>
      </c>
      <c r="E16" s="8"/>
    </row>
    <row r="18" customFormat="false" ht="15" hidden="false" customHeight="true" outlineLevel="0" collapsed="false">
      <c r="A18" s="11" t="s">
        <v>295</v>
      </c>
      <c r="B18" s="11" t="s">
        <v>296</v>
      </c>
      <c r="C18" s="11"/>
      <c r="D18" s="11" t="s">
        <v>297</v>
      </c>
      <c r="E18" s="11"/>
    </row>
    <row r="19" customFormat="false" ht="29.25" hidden="false" customHeight="true" outlineLevel="0" collapsed="false">
      <c r="A19" s="6" t="n">
        <v>1</v>
      </c>
      <c r="B19" s="8" t="s">
        <v>553</v>
      </c>
      <c r="C19" s="8"/>
      <c r="D19" s="16" t="s">
        <v>554</v>
      </c>
      <c r="E19" s="16"/>
    </row>
    <row r="20" customFormat="false" ht="24" hidden="false" customHeight="true" outlineLevel="0" collapsed="false">
      <c r="A20" s="24" t="s">
        <v>306</v>
      </c>
      <c r="B20" s="24"/>
      <c r="C20" s="24"/>
      <c r="D20" s="24"/>
      <c r="E20" s="24"/>
    </row>
  </sheetData>
  <mergeCells count="21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A12:A13"/>
    <mergeCell ref="B12:E13"/>
    <mergeCell ref="D15:E15"/>
    <mergeCell ref="D16:E16"/>
    <mergeCell ref="B18:C18"/>
    <mergeCell ref="D18:E18"/>
    <mergeCell ref="B19:C19"/>
    <mergeCell ref="D19:E19"/>
    <mergeCell ref="A20:E20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54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186</v>
      </c>
      <c r="C1" s="11" t="s">
        <v>256</v>
      </c>
      <c r="D1" s="16" t="s">
        <v>551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271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555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380</v>
      </c>
      <c r="E11" s="8" t="s">
        <v>556</v>
      </c>
    </row>
    <row r="13" customFormat="false" ht="15" hidden="false" customHeight="true" outlineLevel="0" collapsed="false">
      <c r="A13" s="11" t="s">
        <v>291</v>
      </c>
      <c r="B13" s="25" t="s">
        <v>187</v>
      </c>
      <c r="C13" s="25"/>
      <c r="D13" s="25"/>
      <c r="E13" s="25"/>
    </row>
    <row r="14" customFormat="false" ht="15" hidden="false" customHeight="false" outlineLevel="0" collapsed="false">
      <c r="A14" s="11"/>
      <c r="B14" s="11"/>
      <c r="C14" s="25"/>
      <c r="D14" s="25"/>
      <c r="E14" s="25"/>
    </row>
    <row r="16" customFormat="false" ht="18" hidden="false" customHeight="true" outlineLevel="0" collapsed="false">
      <c r="A16" s="11" t="s">
        <v>292</v>
      </c>
      <c r="B16" s="8" t="s">
        <v>185</v>
      </c>
      <c r="C16" s="11" t="s">
        <v>3</v>
      </c>
      <c r="D16" s="8" t="s">
        <v>125</v>
      </c>
      <c r="E16" s="8"/>
    </row>
    <row r="17" customFormat="false" ht="27.75" hidden="false" customHeight="true" outlineLevel="0" collapsed="false">
      <c r="A17" s="11" t="s">
        <v>293</v>
      </c>
      <c r="B17" s="8" t="s">
        <v>294</v>
      </c>
      <c r="C17" s="11" t="s">
        <v>7</v>
      </c>
      <c r="D17" s="8" t="s">
        <v>32</v>
      </c>
      <c r="E17" s="8"/>
    </row>
    <row r="19" customFormat="false" ht="15" hidden="false" customHeight="true" outlineLevel="0" collapsed="false">
      <c r="A19" s="11" t="s">
        <v>295</v>
      </c>
      <c r="B19" s="11" t="s">
        <v>296</v>
      </c>
      <c r="C19" s="11"/>
      <c r="D19" s="11" t="s">
        <v>297</v>
      </c>
      <c r="E19" s="11"/>
    </row>
    <row r="20" customFormat="false" ht="55.5" hidden="false" customHeight="true" outlineLevel="0" collapsed="false">
      <c r="A20" s="6" t="n">
        <v>1</v>
      </c>
      <c r="B20" s="8" t="s">
        <v>557</v>
      </c>
      <c r="C20" s="8"/>
      <c r="D20" s="16" t="s">
        <v>558</v>
      </c>
      <c r="E20" s="16"/>
    </row>
    <row r="21" customFormat="false" ht="24" hidden="false" customHeight="true" outlineLevel="0" collapsed="false">
      <c r="A21" s="24" t="s">
        <v>306</v>
      </c>
      <c r="B21" s="24"/>
      <c r="C21" s="24"/>
      <c r="D21" s="24"/>
      <c r="E21" s="24"/>
    </row>
  </sheetData>
  <mergeCells count="22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A13:A14"/>
    <mergeCell ref="B13:E14"/>
    <mergeCell ref="D16:E16"/>
    <mergeCell ref="D17:E17"/>
    <mergeCell ref="B19:C19"/>
    <mergeCell ref="D19:E19"/>
    <mergeCell ref="B20:C20"/>
    <mergeCell ref="D20:E20"/>
    <mergeCell ref="A21:E21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55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188</v>
      </c>
      <c r="C1" s="11" t="s">
        <v>256</v>
      </c>
      <c r="D1" s="16" t="s">
        <v>551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271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559</v>
      </c>
      <c r="C10" s="8"/>
      <c r="D10" s="16" t="s">
        <v>284</v>
      </c>
      <c r="E10" s="8" t="s">
        <v>285</v>
      </c>
    </row>
    <row r="12" customFormat="false" ht="15" hidden="false" customHeight="true" outlineLevel="0" collapsed="false">
      <c r="A12" s="11" t="s">
        <v>291</v>
      </c>
      <c r="B12" s="25" t="s">
        <v>189</v>
      </c>
      <c r="C12" s="25"/>
      <c r="D12" s="25"/>
      <c r="E12" s="25"/>
    </row>
    <row r="13" customFormat="false" ht="15" hidden="false" customHeight="false" outlineLevel="0" collapsed="false">
      <c r="A13" s="11"/>
      <c r="B13" s="11"/>
      <c r="C13" s="25"/>
      <c r="D13" s="25"/>
      <c r="E13" s="25"/>
    </row>
    <row r="15" customFormat="false" ht="18" hidden="false" customHeight="true" outlineLevel="0" collapsed="false">
      <c r="A15" s="11" t="s">
        <v>292</v>
      </c>
      <c r="B15" s="8" t="s">
        <v>185</v>
      </c>
      <c r="C15" s="11" t="s">
        <v>3</v>
      </c>
      <c r="D15" s="8" t="s">
        <v>125</v>
      </c>
      <c r="E15" s="8"/>
    </row>
    <row r="16" customFormat="false" ht="27.75" hidden="false" customHeight="true" outlineLevel="0" collapsed="false">
      <c r="A16" s="11" t="s">
        <v>293</v>
      </c>
      <c r="B16" s="8" t="s">
        <v>294</v>
      </c>
      <c r="C16" s="11" t="s">
        <v>7</v>
      </c>
      <c r="D16" s="8" t="s">
        <v>32</v>
      </c>
      <c r="E16" s="8"/>
    </row>
    <row r="18" customFormat="false" ht="15" hidden="false" customHeight="true" outlineLevel="0" collapsed="false">
      <c r="A18" s="11" t="s">
        <v>295</v>
      </c>
      <c r="B18" s="11" t="s">
        <v>296</v>
      </c>
      <c r="C18" s="11"/>
      <c r="D18" s="11" t="s">
        <v>297</v>
      </c>
      <c r="E18" s="11"/>
    </row>
    <row r="19" customFormat="false" ht="29.25" hidden="false" customHeight="true" outlineLevel="0" collapsed="false">
      <c r="A19" s="6" t="n">
        <v>1</v>
      </c>
      <c r="B19" s="8" t="s">
        <v>553</v>
      </c>
      <c r="C19" s="8"/>
      <c r="D19" s="16" t="s">
        <v>560</v>
      </c>
      <c r="E19" s="16"/>
    </row>
    <row r="20" customFormat="false" ht="24" hidden="false" customHeight="true" outlineLevel="0" collapsed="false">
      <c r="A20" s="24" t="s">
        <v>306</v>
      </c>
      <c r="B20" s="24"/>
      <c r="C20" s="24"/>
      <c r="D20" s="24"/>
      <c r="E20" s="24"/>
    </row>
  </sheetData>
  <mergeCells count="21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A12:A13"/>
    <mergeCell ref="B12:E13"/>
    <mergeCell ref="D15:E15"/>
    <mergeCell ref="D16:E16"/>
    <mergeCell ref="B18:C18"/>
    <mergeCell ref="D18:E18"/>
    <mergeCell ref="B19:C19"/>
    <mergeCell ref="D19:E19"/>
    <mergeCell ref="A20:E20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56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190</v>
      </c>
      <c r="C1" s="11" t="s">
        <v>256</v>
      </c>
      <c r="D1" s="16" t="s">
        <v>551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30</v>
      </c>
      <c r="C5" s="11" t="s">
        <v>270</v>
      </c>
      <c r="D5" s="8" t="s">
        <v>315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29.25" hidden="false" customHeight="true" outlineLevel="0" collapsed="false">
      <c r="A10" s="6" t="n">
        <v>3</v>
      </c>
      <c r="B10" s="8" t="s">
        <v>561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380</v>
      </c>
      <c r="E11" s="8" t="s">
        <v>556</v>
      </c>
    </row>
    <row r="13" customFormat="false" ht="15" hidden="false" customHeight="true" outlineLevel="0" collapsed="false">
      <c r="A13" s="11" t="s">
        <v>291</v>
      </c>
      <c r="B13" s="25" t="s">
        <v>191</v>
      </c>
      <c r="C13" s="25"/>
      <c r="D13" s="25"/>
      <c r="E13" s="25"/>
    </row>
    <row r="14" customFormat="false" ht="15" hidden="false" customHeight="false" outlineLevel="0" collapsed="false">
      <c r="A14" s="11"/>
      <c r="B14" s="11"/>
      <c r="C14" s="25"/>
      <c r="D14" s="25"/>
      <c r="E14" s="25"/>
    </row>
    <row r="16" customFormat="false" ht="18" hidden="false" customHeight="true" outlineLevel="0" collapsed="false">
      <c r="A16" s="11" t="s">
        <v>292</v>
      </c>
      <c r="B16" s="8" t="s">
        <v>185</v>
      </c>
      <c r="C16" s="11" t="s">
        <v>3</v>
      </c>
      <c r="D16" s="8" t="s">
        <v>125</v>
      </c>
      <c r="E16" s="8"/>
    </row>
    <row r="17" customFormat="false" ht="27.75" hidden="false" customHeight="true" outlineLevel="0" collapsed="false">
      <c r="A17" s="11" t="s">
        <v>293</v>
      </c>
      <c r="B17" s="8" t="s">
        <v>294</v>
      </c>
      <c r="C17" s="11" t="s">
        <v>7</v>
      </c>
      <c r="D17" s="8" t="s">
        <v>32</v>
      </c>
      <c r="E17" s="8"/>
    </row>
    <row r="19" customFormat="false" ht="15" hidden="false" customHeight="true" outlineLevel="0" collapsed="false">
      <c r="A19" s="11" t="s">
        <v>295</v>
      </c>
      <c r="B19" s="11" t="s">
        <v>296</v>
      </c>
      <c r="C19" s="11"/>
      <c r="D19" s="11" t="s">
        <v>297</v>
      </c>
      <c r="E19" s="11"/>
    </row>
    <row r="20" customFormat="false" ht="42" hidden="false" customHeight="true" outlineLevel="0" collapsed="false">
      <c r="A20" s="6" t="n">
        <v>1</v>
      </c>
      <c r="B20" s="8" t="s">
        <v>562</v>
      </c>
      <c r="C20" s="8"/>
      <c r="D20" s="16" t="s">
        <v>563</v>
      </c>
      <c r="E20" s="16"/>
    </row>
    <row r="21" customFormat="false" ht="24" hidden="false" customHeight="true" outlineLevel="0" collapsed="false">
      <c r="A21" s="24" t="s">
        <v>306</v>
      </c>
      <c r="B21" s="24"/>
      <c r="C21" s="24"/>
      <c r="D21" s="24"/>
      <c r="E21" s="24"/>
    </row>
  </sheetData>
  <mergeCells count="22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A13:A14"/>
    <mergeCell ref="B13:E14"/>
    <mergeCell ref="D16:E16"/>
    <mergeCell ref="D17:E17"/>
    <mergeCell ref="B19:C19"/>
    <mergeCell ref="D19:E19"/>
    <mergeCell ref="B20:C20"/>
    <mergeCell ref="D20:E20"/>
    <mergeCell ref="A21:E21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57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192</v>
      </c>
      <c r="C1" s="11" t="s">
        <v>256</v>
      </c>
      <c r="D1" s="16" t="s">
        <v>564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321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565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380</v>
      </c>
      <c r="E11" s="8" t="s">
        <v>288</v>
      </c>
    </row>
    <row r="13" customFormat="false" ht="15" hidden="false" customHeight="true" outlineLevel="0" collapsed="false">
      <c r="A13" s="11" t="s">
        <v>291</v>
      </c>
      <c r="B13" s="25" t="s">
        <v>193</v>
      </c>
      <c r="C13" s="25"/>
      <c r="D13" s="25"/>
      <c r="E13" s="25"/>
    </row>
    <row r="14" customFormat="false" ht="15" hidden="false" customHeight="false" outlineLevel="0" collapsed="false">
      <c r="A14" s="11"/>
      <c r="B14" s="11"/>
      <c r="C14" s="25"/>
      <c r="D14" s="25"/>
      <c r="E14" s="25"/>
    </row>
    <row r="16" customFormat="false" ht="18" hidden="false" customHeight="true" outlineLevel="0" collapsed="false">
      <c r="A16" s="11" t="s">
        <v>292</v>
      </c>
      <c r="B16" s="8" t="s">
        <v>194</v>
      </c>
      <c r="C16" s="11" t="s">
        <v>3</v>
      </c>
      <c r="D16" s="8" t="s">
        <v>125</v>
      </c>
      <c r="E16" s="8"/>
    </row>
    <row r="17" customFormat="false" ht="27.75" hidden="false" customHeight="true" outlineLevel="0" collapsed="false">
      <c r="A17" s="11" t="s">
        <v>293</v>
      </c>
      <c r="B17" s="8" t="s">
        <v>294</v>
      </c>
      <c r="C17" s="11" t="s">
        <v>7</v>
      </c>
      <c r="D17" s="8" t="s">
        <v>32</v>
      </c>
      <c r="E17" s="8"/>
    </row>
    <row r="19" customFormat="false" ht="15" hidden="false" customHeight="true" outlineLevel="0" collapsed="false">
      <c r="A19" s="11" t="s">
        <v>295</v>
      </c>
      <c r="B19" s="11" t="s">
        <v>296</v>
      </c>
      <c r="C19" s="11"/>
      <c r="D19" s="11" t="s">
        <v>297</v>
      </c>
      <c r="E19" s="11"/>
    </row>
    <row r="20" customFormat="false" ht="42" hidden="false" customHeight="true" outlineLevel="0" collapsed="false">
      <c r="A20" s="6" t="n">
        <v>1</v>
      </c>
      <c r="B20" s="8" t="s">
        <v>566</v>
      </c>
      <c r="C20" s="8"/>
      <c r="D20" s="16" t="s">
        <v>567</v>
      </c>
      <c r="E20" s="16"/>
    </row>
    <row r="21" customFormat="false" ht="24" hidden="false" customHeight="true" outlineLevel="0" collapsed="false">
      <c r="A21" s="24" t="s">
        <v>306</v>
      </c>
      <c r="B21" s="24"/>
      <c r="C21" s="24"/>
      <c r="D21" s="24"/>
      <c r="E21" s="24"/>
    </row>
  </sheetData>
  <mergeCells count="22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A13:A14"/>
    <mergeCell ref="B13:E14"/>
    <mergeCell ref="D16:E16"/>
    <mergeCell ref="D17:E17"/>
    <mergeCell ref="B19:C19"/>
    <mergeCell ref="D19:E19"/>
    <mergeCell ref="B20:C20"/>
    <mergeCell ref="D20:E20"/>
    <mergeCell ref="A21:E21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58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195</v>
      </c>
      <c r="C1" s="11" t="s">
        <v>256</v>
      </c>
      <c r="D1" s="16" t="s">
        <v>564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30</v>
      </c>
      <c r="C5" s="11" t="s">
        <v>270</v>
      </c>
      <c r="D5" s="8" t="s">
        <v>325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565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380</v>
      </c>
      <c r="E11" s="8" t="s">
        <v>288</v>
      </c>
    </row>
    <row r="13" customFormat="false" ht="15" hidden="false" customHeight="true" outlineLevel="0" collapsed="false">
      <c r="A13" s="11" t="s">
        <v>291</v>
      </c>
      <c r="B13" s="25" t="s">
        <v>196</v>
      </c>
      <c r="C13" s="25"/>
      <c r="D13" s="25"/>
      <c r="E13" s="25"/>
    </row>
    <row r="14" customFormat="false" ht="15" hidden="false" customHeight="false" outlineLevel="0" collapsed="false">
      <c r="A14" s="11"/>
      <c r="B14" s="11"/>
      <c r="C14" s="25"/>
      <c r="D14" s="25"/>
      <c r="E14" s="25"/>
    </row>
    <row r="16" customFormat="false" ht="18" hidden="false" customHeight="true" outlineLevel="0" collapsed="false">
      <c r="A16" s="11" t="s">
        <v>292</v>
      </c>
      <c r="B16" s="8" t="s">
        <v>194</v>
      </c>
      <c r="C16" s="11" t="s">
        <v>3</v>
      </c>
      <c r="D16" s="8" t="s">
        <v>125</v>
      </c>
      <c r="E16" s="8"/>
    </row>
    <row r="17" customFormat="false" ht="27.75" hidden="false" customHeight="true" outlineLevel="0" collapsed="false">
      <c r="A17" s="11" t="s">
        <v>293</v>
      </c>
      <c r="B17" s="8" t="s">
        <v>294</v>
      </c>
      <c r="C17" s="11" t="s">
        <v>7</v>
      </c>
      <c r="D17" s="8" t="s">
        <v>32</v>
      </c>
      <c r="E17" s="8"/>
    </row>
    <row r="19" customFormat="false" ht="15" hidden="false" customHeight="true" outlineLevel="0" collapsed="false">
      <c r="A19" s="11" t="s">
        <v>295</v>
      </c>
      <c r="B19" s="11" t="s">
        <v>296</v>
      </c>
      <c r="C19" s="11"/>
      <c r="D19" s="11" t="s">
        <v>297</v>
      </c>
      <c r="E19" s="11"/>
    </row>
    <row r="20" customFormat="false" ht="29.25" hidden="false" customHeight="true" outlineLevel="0" collapsed="false">
      <c r="A20" s="6" t="n">
        <v>1</v>
      </c>
      <c r="B20" s="8" t="s">
        <v>568</v>
      </c>
      <c r="C20" s="8"/>
      <c r="D20" s="8" t="s">
        <v>569</v>
      </c>
      <c r="E20" s="8"/>
    </row>
    <row r="21" customFormat="false" ht="29.25" hidden="false" customHeight="true" outlineLevel="0" collapsed="false">
      <c r="A21" s="6" t="n">
        <v>2</v>
      </c>
      <c r="B21" s="8" t="s">
        <v>570</v>
      </c>
      <c r="C21" s="8"/>
      <c r="D21" s="16" t="s">
        <v>571</v>
      </c>
      <c r="E21" s="16"/>
    </row>
    <row r="22" customFormat="false" ht="24" hidden="false" customHeight="true" outlineLevel="0" collapsed="false">
      <c r="A22" s="24" t="s">
        <v>306</v>
      </c>
      <c r="B22" s="24"/>
      <c r="C22" s="24"/>
      <c r="D22" s="24"/>
      <c r="E22" s="24"/>
    </row>
  </sheetData>
  <mergeCells count="24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A13:A14"/>
    <mergeCell ref="B13:E14"/>
    <mergeCell ref="D16:E16"/>
    <mergeCell ref="D17:E17"/>
    <mergeCell ref="B19:C19"/>
    <mergeCell ref="D19:E19"/>
    <mergeCell ref="B20:C20"/>
    <mergeCell ref="D20:E20"/>
    <mergeCell ref="B21:C21"/>
    <mergeCell ref="D21:E21"/>
    <mergeCell ref="A22:E22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59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197</v>
      </c>
      <c r="C1" s="11" t="s">
        <v>256</v>
      </c>
      <c r="D1" s="16" t="s">
        <v>564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405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29.25" hidden="false" customHeight="true" outlineLevel="0" collapsed="false">
      <c r="A10" s="6" t="n">
        <v>3</v>
      </c>
      <c r="B10" s="8" t="s">
        <v>572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380</v>
      </c>
      <c r="E11" s="8" t="s">
        <v>288</v>
      </c>
    </row>
    <row r="13" customFormat="false" ht="15" hidden="false" customHeight="true" outlineLevel="0" collapsed="false">
      <c r="A13" s="11" t="s">
        <v>291</v>
      </c>
      <c r="B13" s="25" t="s">
        <v>198</v>
      </c>
      <c r="C13" s="25"/>
      <c r="D13" s="25"/>
      <c r="E13" s="25"/>
    </row>
    <row r="14" customFormat="false" ht="15" hidden="false" customHeight="false" outlineLevel="0" collapsed="false">
      <c r="A14" s="11"/>
      <c r="B14" s="11"/>
      <c r="C14" s="25"/>
      <c r="D14" s="25"/>
      <c r="E14" s="25"/>
    </row>
    <row r="16" customFormat="false" ht="18" hidden="false" customHeight="true" outlineLevel="0" collapsed="false">
      <c r="A16" s="11" t="s">
        <v>292</v>
      </c>
      <c r="B16" s="8" t="s">
        <v>194</v>
      </c>
      <c r="C16" s="11" t="s">
        <v>3</v>
      </c>
      <c r="D16" s="8" t="s">
        <v>125</v>
      </c>
      <c r="E16" s="8"/>
    </row>
    <row r="17" customFormat="false" ht="27.75" hidden="false" customHeight="true" outlineLevel="0" collapsed="false">
      <c r="A17" s="11" t="s">
        <v>293</v>
      </c>
      <c r="B17" s="8" t="s">
        <v>294</v>
      </c>
      <c r="C17" s="11" t="s">
        <v>7</v>
      </c>
      <c r="D17" s="8" t="s">
        <v>32</v>
      </c>
      <c r="E17" s="8"/>
    </row>
    <row r="19" customFormat="false" ht="15" hidden="false" customHeight="true" outlineLevel="0" collapsed="false">
      <c r="A19" s="11" t="s">
        <v>295</v>
      </c>
      <c r="B19" s="11" t="s">
        <v>296</v>
      </c>
      <c r="C19" s="11"/>
      <c r="D19" s="11" t="s">
        <v>297</v>
      </c>
      <c r="E19" s="11"/>
    </row>
    <row r="20" customFormat="false" ht="29.25" hidden="false" customHeight="true" outlineLevel="0" collapsed="false">
      <c r="A20" s="6" t="n">
        <v>1</v>
      </c>
      <c r="B20" s="8" t="s">
        <v>573</v>
      </c>
      <c r="C20" s="8"/>
      <c r="D20" s="8" t="s">
        <v>574</v>
      </c>
      <c r="E20" s="8"/>
    </row>
    <row r="21" customFormat="false" ht="29.25" hidden="false" customHeight="true" outlineLevel="0" collapsed="false">
      <c r="A21" s="6" t="n">
        <v>2</v>
      </c>
      <c r="B21" s="8" t="s">
        <v>575</v>
      </c>
      <c r="C21" s="8"/>
      <c r="D21" s="8" t="s">
        <v>576</v>
      </c>
      <c r="E21" s="8"/>
    </row>
    <row r="22" customFormat="false" ht="55.5" hidden="false" customHeight="true" outlineLevel="0" collapsed="false">
      <c r="A22" s="6" t="n">
        <v>3</v>
      </c>
      <c r="B22" s="8" t="s">
        <v>422</v>
      </c>
      <c r="C22" s="8"/>
      <c r="D22" s="16" t="s">
        <v>577</v>
      </c>
      <c r="E22" s="16"/>
    </row>
    <row r="23" customFormat="false" ht="24" hidden="false" customHeight="true" outlineLevel="0" collapsed="false">
      <c r="A23" s="24" t="s">
        <v>306</v>
      </c>
      <c r="B23" s="24"/>
      <c r="C23" s="24"/>
      <c r="D23" s="24"/>
      <c r="E23" s="24"/>
    </row>
  </sheetData>
  <mergeCells count="26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A13:A14"/>
    <mergeCell ref="B13:E14"/>
    <mergeCell ref="D16:E16"/>
    <mergeCell ref="D17:E17"/>
    <mergeCell ref="B19:C19"/>
    <mergeCell ref="D19:E19"/>
    <mergeCell ref="B20:C20"/>
    <mergeCell ref="D20:E20"/>
    <mergeCell ref="B21:C21"/>
    <mergeCell ref="D21:E21"/>
    <mergeCell ref="B22:C22"/>
    <mergeCell ref="D22:E22"/>
    <mergeCell ref="A23:E23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60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199</v>
      </c>
      <c r="C1" s="11" t="s">
        <v>256</v>
      </c>
      <c r="D1" s="16" t="s">
        <v>564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30</v>
      </c>
      <c r="C5" s="11" t="s">
        <v>270</v>
      </c>
      <c r="D5" s="8" t="s">
        <v>325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565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380</v>
      </c>
      <c r="E11" s="8" t="s">
        <v>288</v>
      </c>
    </row>
    <row r="13" customFormat="false" ht="15" hidden="false" customHeight="true" outlineLevel="0" collapsed="false">
      <c r="A13" s="11" t="s">
        <v>291</v>
      </c>
      <c r="B13" s="25" t="s">
        <v>200</v>
      </c>
      <c r="C13" s="25"/>
      <c r="D13" s="25"/>
      <c r="E13" s="25"/>
    </row>
    <row r="14" customFormat="false" ht="15" hidden="false" customHeight="false" outlineLevel="0" collapsed="false">
      <c r="A14" s="11"/>
      <c r="B14" s="11"/>
      <c r="C14" s="25"/>
      <c r="D14" s="25"/>
      <c r="E14" s="25"/>
    </row>
    <row r="16" customFormat="false" ht="18" hidden="false" customHeight="true" outlineLevel="0" collapsed="false">
      <c r="A16" s="11" t="s">
        <v>292</v>
      </c>
      <c r="B16" s="8" t="s">
        <v>194</v>
      </c>
      <c r="C16" s="11" t="s">
        <v>3</v>
      </c>
      <c r="D16" s="8" t="s">
        <v>125</v>
      </c>
      <c r="E16" s="8"/>
    </row>
    <row r="17" customFormat="false" ht="27.75" hidden="false" customHeight="true" outlineLevel="0" collapsed="false">
      <c r="A17" s="11" t="s">
        <v>293</v>
      </c>
      <c r="B17" s="8" t="s">
        <v>294</v>
      </c>
      <c r="C17" s="11" t="s">
        <v>7</v>
      </c>
      <c r="D17" s="8" t="s">
        <v>32</v>
      </c>
      <c r="E17" s="8"/>
    </row>
    <row r="19" customFormat="false" ht="15" hidden="false" customHeight="true" outlineLevel="0" collapsed="false">
      <c r="A19" s="11" t="s">
        <v>295</v>
      </c>
      <c r="B19" s="11" t="s">
        <v>296</v>
      </c>
      <c r="C19" s="11"/>
      <c r="D19" s="11" t="s">
        <v>297</v>
      </c>
      <c r="E19" s="11"/>
    </row>
    <row r="20" customFormat="false" ht="42" hidden="false" customHeight="true" outlineLevel="0" collapsed="false">
      <c r="A20" s="6" t="n">
        <v>1</v>
      </c>
      <c r="B20" s="8" t="s">
        <v>578</v>
      </c>
      <c r="C20" s="8"/>
      <c r="D20" s="16" t="s">
        <v>579</v>
      </c>
      <c r="E20" s="16"/>
    </row>
    <row r="21" customFormat="false" ht="24" hidden="false" customHeight="true" outlineLevel="0" collapsed="false">
      <c r="A21" s="24" t="s">
        <v>306</v>
      </c>
      <c r="B21" s="24"/>
      <c r="C21" s="24"/>
      <c r="D21" s="24"/>
      <c r="E21" s="24"/>
    </row>
  </sheetData>
  <mergeCells count="22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A13:A14"/>
    <mergeCell ref="B13:E14"/>
    <mergeCell ref="D16:E16"/>
    <mergeCell ref="D17:E17"/>
    <mergeCell ref="B19:C19"/>
    <mergeCell ref="D19:E19"/>
    <mergeCell ref="B20:C20"/>
    <mergeCell ref="D20:E20"/>
    <mergeCell ref="A21:E21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61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201</v>
      </c>
      <c r="C1" s="11" t="s">
        <v>256</v>
      </c>
      <c r="D1" s="16" t="s">
        <v>564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405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565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380</v>
      </c>
      <c r="E11" s="8" t="s">
        <v>288</v>
      </c>
    </row>
    <row r="13" customFormat="false" ht="15" hidden="false" customHeight="true" outlineLevel="0" collapsed="false">
      <c r="A13" s="11" t="s">
        <v>291</v>
      </c>
      <c r="B13" s="25" t="s">
        <v>202</v>
      </c>
      <c r="C13" s="25"/>
      <c r="D13" s="25"/>
      <c r="E13" s="25"/>
    </row>
    <row r="14" customFormat="false" ht="15" hidden="false" customHeight="false" outlineLevel="0" collapsed="false">
      <c r="A14" s="11"/>
      <c r="B14" s="11"/>
      <c r="C14" s="25"/>
      <c r="D14" s="25"/>
      <c r="E14" s="25"/>
    </row>
    <row r="16" customFormat="false" ht="18" hidden="false" customHeight="true" outlineLevel="0" collapsed="false">
      <c r="A16" s="11" t="s">
        <v>292</v>
      </c>
      <c r="B16" s="8" t="s">
        <v>194</v>
      </c>
      <c r="C16" s="11" t="s">
        <v>3</v>
      </c>
      <c r="D16" s="8" t="s">
        <v>125</v>
      </c>
      <c r="E16" s="8"/>
    </row>
    <row r="17" customFormat="false" ht="27.75" hidden="false" customHeight="true" outlineLevel="0" collapsed="false">
      <c r="A17" s="11" t="s">
        <v>293</v>
      </c>
      <c r="B17" s="8" t="s">
        <v>294</v>
      </c>
      <c r="C17" s="11" t="s">
        <v>7</v>
      </c>
      <c r="D17" s="8" t="s">
        <v>32</v>
      </c>
      <c r="E17" s="8"/>
    </row>
    <row r="19" customFormat="false" ht="15" hidden="false" customHeight="true" outlineLevel="0" collapsed="false">
      <c r="A19" s="11" t="s">
        <v>295</v>
      </c>
      <c r="B19" s="11" t="s">
        <v>296</v>
      </c>
      <c r="C19" s="11"/>
      <c r="D19" s="11" t="s">
        <v>297</v>
      </c>
      <c r="E19" s="11"/>
    </row>
    <row r="20" customFormat="false" ht="29.25" hidden="false" customHeight="true" outlineLevel="0" collapsed="false">
      <c r="A20" s="6" t="n">
        <v>1</v>
      </c>
      <c r="B20" s="8" t="s">
        <v>396</v>
      </c>
      <c r="C20" s="8"/>
      <c r="D20" s="8" t="s">
        <v>580</v>
      </c>
      <c r="E20" s="8"/>
    </row>
    <row r="21" customFormat="false" ht="29.25" hidden="false" customHeight="true" outlineLevel="0" collapsed="false">
      <c r="A21" s="6" t="n">
        <v>2</v>
      </c>
      <c r="B21" s="8" t="s">
        <v>581</v>
      </c>
      <c r="C21" s="8"/>
      <c r="D21" s="8" t="s">
        <v>582</v>
      </c>
      <c r="E21" s="8"/>
    </row>
    <row r="22" customFormat="false" ht="42" hidden="false" customHeight="true" outlineLevel="0" collapsed="false">
      <c r="A22" s="6" t="n">
        <v>3</v>
      </c>
      <c r="B22" s="8" t="s">
        <v>583</v>
      </c>
      <c r="C22" s="8"/>
      <c r="D22" s="16" t="s">
        <v>584</v>
      </c>
      <c r="E22" s="16"/>
    </row>
    <row r="23" customFormat="false" ht="24" hidden="false" customHeight="true" outlineLevel="0" collapsed="false">
      <c r="A23" s="24" t="s">
        <v>306</v>
      </c>
      <c r="B23" s="24"/>
      <c r="C23" s="24"/>
      <c r="D23" s="24"/>
      <c r="E23" s="24"/>
    </row>
  </sheetData>
  <mergeCells count="26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A13:A14"/>
    <mergeCell ref="B13:E14"/>
    <mergeCell ref="D16:E16"/>
    <mergeCell ref="D17:E17"/>
    <mergeCell ref="B19:C19"/>
    <mergeCell ref="D19:E19"/>
    <mergeCell ref="B20:C20"/>
    <mergeCell ref="D20:E20"/>
    <mergeCell ref="B21:C21"/>
    <mergeCell ref="D21:E21"/>
    <mergeCell ref="B22:C22"/>
    <mergeCell ref="D22:E22"/>
    <mergeCell ref="A23:E23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62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203</v>
      </c>
      <c r="C1" s="11" t="s">
        <v>256</v>
      </c>
      <c r="D1" s="16" t="s">
        <v>585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321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478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204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205</v>
      </c>
      <c r="C18" s="11" t="s">
        <v>3</v>
      </c>
      <c r="D18" s="8" t="s">
        <v>125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19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15.75" hidden="false" customHeight="true" outlineLevel="0" collapsed="false">
      <c r="A22" s="6" t="n">
        <v>1</v>
      </c>
      <c r="B22" s="8" t="s">
        <v>479</v>
      </c>
      <c r="C22" s="8"/>
      <c r="D22" s="8" t="s">
        <v>480</v>
      </c>
      <c r="E22" s="8"/>
    </row>
    <row r="23" customFormat="false" ht="42" hidden="false" customHeight="true" outlineLevel="0" collapsed="false">
      <c r="A23" s="6" t="n">
        <v>2</v>
      </c>
      <c r="B23" s="8" t="s">
        <v>586</v>
      </c>
      <c r="C23" s="8"/>
      <c r="D23" s="16" t="s">
        <v>587</v>
      </c>
      <c r="E23" s="16"/>
    </row>
    <row r="24" customFormat="false" ht="24" hidden="false" customHeight="true" outlineLevel="0" collapsed="false">
      <c r="A24" s="24" t="s">
        <v>306</v>
      </c>
      <c r="B24" s="24"/>
      <c r="C24" s="24"/>
      <c r="D24" s="24"/>
      <c r="E24" s="24"/>
    </row>
  </sheetData>
  <mergeCells count="26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A24:E24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63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206</v>
      </c>
      <c r="C1" s="11" t="s">
        <v>256</v>
      </c>
      <c r="D1" s="16" t="s">
        <v>585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321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29.25" hidden="false" customHeight="true" outlineLevel="0" collapsed="false">
      <c r="A10" s="6" t="n">
        <v>3</v>
      </c>
      <c r="B10" s="8" t="s">
        <v>379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380</v>
      </c>
      <c r="E11" s="8" t="s">
        <v>288</v>
      </c>
    </row>
    <row r="13" customFormat="false" ht="15" hidden="false" customHeight="true" outlineLevel="0" collapsed="false">
      <c r="A13" s="11" t="s">
        <v>291</v>
      </c>
      <c r="B13" s="25" t="s">
        <v>207</v>
      </c>
      <c r="C13" s="25"/>
      <c r="D13" s="25"/>
      <c r="E13" s="25"/>
    </row>
    <row r="14" customFormat="false" ht="15" hidden="false" customHeight="false" outlineLevel="0" collapsed="false">
      <c r="A14" s="11"/>
      <c r="B14" s="11"/>
      <c r="C14" s="25"/>
      <c r="D14" s="25"/>
      <c r="E14" s="25"/>
    </row>
    <row r="16" customFormat="false" ht="18" hidden="false" customHeight="true" outlineLevel="0" collapsed="false">
      <c r="A16" s="11" t="s">
        <v>292</v>
      </c>
      <c r="B16" s="8" t="s">
        <v>205</v>
      </c>
      <c r="C16" s="11" t="s">
        <v>3</v>
      </c>
      <c r="D16" s="8" t="s">
        <v>125</v>
      </c>
      <c r="E16" s="8"/>
    </row>
    <row r="17" customFormat="false" ht="27.75" hidden="false" customHeight="true" outlineLevel="0" collapsed="false">
      <c r="A17" s="11" t="s">
        <v>293</v>
      </c>
      <c r="B17" s="8" t="s">
        <v>294</v>
      </c>
      <c r="C17" s="11" t="s">
        <v>7</v>
      </c>
      <c r="D17" s="8" t="s">
        <v>19</v>
      </c>
      <c r="E17" s="8"/>
    </row>
    <row r="19" customFormat="false" ht="15" hidden="false" customHeight="true" outlineLevel="0" collapsed="false">
      <c r="A19" s="11" t="s">
        <v>295</v>
      </c>
      <c r="B19" s="11" t="s">
        <v>296</v>
      </c>
      <c r="C19" s="11"/>
      <c r="D19" s="11" t="s">
        <v>297</v>
      </c>
      <c r="E19" s="11"/>
    </row>
    <row r="20" customFormat="false" ht="15.75" hidden="false" customHeight="true" outlineLevel="0" collapsed="false">
      <c r="A20" s="6" t="n">
        <v>1</v>
      </c>
      <c r="B20" s="8" t="s">
        <v>588</v>
      </c>
      <c r="C20" s="8"/>
      <c r="D20" s="8" t="s">
        <v>589</v>
      </c>
      <c r="E20" s="8"/>
    </row>
    <row r="21" customFormat="false" ht="42" hidden="false" customHeight="true" outlineLevel="0" collapsed="false">
      <c r="A21" s="6" t="n">
        <v>2</v>
      </c>
      <c r="B21" s="8" t="s">
        <v>586</v>
      </c>
      <c r="C21" s="8"/>
      <c r="D21" s="16" t="s">
        <v>590</v>
      </c>
      <c r="E21" s="16"/>
    </row>
    <row r="22" customFormat="false" ht="24" hidden="false" customHeight="true" outlineLevel="0" collapsed="false">
      <c r="A22" s="24" t="s">
        <v>306</v>
      </c>
      <c r="B22" s="24"/>
      <c r="C22" s="24"/>
      <c r="D22" s="24"/>
      <c r="E22" s="24"/>
    </row>
  </sheetData>
  <mergeCells count="24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A13:A14"/>
    <mergeCell ref="B13:E14"/>
    <mergeCell ref="D16:E16"/>
    <mergeCell ref="D17:E17"/>
    <mergeCell ref="B19:C19"/>
    <mergeCell ref="D19:E19"/>
    <mergeCell ref="B20:C20"/>
    <mergeCell ref="D20:E20"/>
    <mergeCell ref="B21:C21"/>
    <mergeCell ref="D21:E21"/>
    <mergeCell ref="A22:E22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64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208</v>
      </c>
      <c r="C1" s="11" t="s">
        <v>256</v>
      </c>
      <c r="D1" s="16" t="s">
        <v>585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16</v>
      </c>
      <c r="C5" s="11" t="s">
        <v>270</v>
      </c>
      <c r="D5" s="8" t="s">
        <v>315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29.25" hidden="false" customHeight="true" outlineLevel="0" collapsed="false">
      <c r="A10" s="6" t="n">
        <v>3</v>
      </c>
      <c r="B10" s="8" t="s">
        <v>591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380</v>
      </c>
      <c r="E11" s="8" t="s">
        <v>288</v>
      </c>
    </row>
    <row r="13" customFormat="false" ht="15" hidden="false" customHeight="true" outlineLevel="0" collapsed="false">
      <c r="A13" s="11" t="s">
        <v>291</v>
      </c>
      <c r="B13" s="25" t="s">
        <v>209</v>
      </c>
      <c r="C13" s="25"/>
      <c r="D13" s="25"/>
      <c r="E13" s="25"/>
    </row>
    <row r="14" customFormat="false" ht="15" hidden="false" customHeight="false" outlineLevel="0" collapsed="false">
      <c r="A14" s="11"/>
      <c r="B14" s="11"/>
      <c r="C14" s="25"/>
      <c r="D14" s="25"/>
      <c r="E14" s="25"/>
    </row>
    <row r="16" customFormat="false" ht="18" hidden="false" customHeight="true" outlineLevel="0" collapsed="false">
      <c r="A16" s="11" t="s">
        <v>292</v>
      </c>
      <c r="B16" s="8" t="s">
        <v>205</v>
      </c>
      <c r="C16" s="11" t="s">
        <v>3</v>
      </c>
      <c r="D16" s="8" t="s">
        <v>125</v>
      </c>
      <c r="E16" s="8"/>
    </row>
    <row r="17" customFormat="false" ht="27.75" hidden="false" customHeight="true" outlineLevel="0" collapsed="false">
      <c r="A17" s="11" t="s">
        <v>293</v>
      </c>
      <c r="B17" s="8" t="s">
        <v>294</v>
      </c>
      <c r="C17" s="11" t="s">
        <v>7</v>
      </c>
      <c r="D17" s="8" t="s">
        <v>19</v>
      </c>
      <c r="E17" s="8"/>
    </row>
    <row r="19" customFormat="false" ht="15" hidden="false" customHeight="true" outlineLevel="0" collapsed="false">
      <c r="A19" s="11" t="s">
        <v>295</v>
      </c>
      <c r="B19" s="11" t="s">
        <v>296</v>
      </c>
      <c r="C19" s="11"/>
      <c r="D19" s="11" t="s">
        <v>297</v>
      </c>
      <c r="E19" s="11"/>
    </row>
    <row r="20" customFormat="false" ht="15.75" hidden="false" customHeight="true" outlineLevel="0" collapsed="false">
      <c r="A20" s="6" t="n">
        <v>1</v>
      </c>
      <c r="B20" s="8" t="s">
        <v>592</v>
      </c>
      <c r="C20" s="8"/>
      <c r="D20" s="8" t="s">
        <v>593</v>
      </c>
      <c r="E20" s="8"/>
    </row>
    <row r="21" customFormat="false" ht="29.25" hidden="false" customHeight="true" outlineLevel="0" collapsed="false">
      <c r="A21" s="6" t="n">
        <v>2</v>
      </c>
      <c r="B21" s="8" t="s">
        <v>594</v>
      </c>
      <c r="C21" s="8"/>
      <c r="D21" s="8" t="s">
        <v>595</v>
      </c>
      <c r="E21" s="8"/>
    </row>
    <row r="22" customFormat="false" ht="42" hidden="false" customHeight="true" outlineLevel="0" collapsed="false">
      <c r="A22" s="6" t="n">
        <v>3</v>
      </c>
      <c r="B22" s="8" t="s">
        <v>596</v>
      </c>
      <c r="C22" s="8"/>
      <c r="D22" s="16" t="s">
        <v>597</v>
      </c>
      <c r="E22" s="16"/>
    </row>
    <row r="23" customFormat="false" ht="24" hidden="false" customHeight="true" outlineLevel="0" collapsed="false">
      <c r="A23" s="24" t="s">
        <v>306</v>
      </c>
      <c r="B23" s="24"/>
      <c r="C23" s="24"/>
      <c r="D23" s="24"/>
      <c r="E23" s="24"/>
    </row>
  </sheetData>
  <mergeCells count="26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A13:A14"/>
    <mergeCell ref="B13:E14"/>
    <mergeCell ref="D16:E16"/>
    <mergeCell ref="D17:E17"/>
    <mergeCell ref="B19:C19"/>
    <mergeCell ref="D19:E19"/>
    <mergeCell ref="B20:C20"/>
    <mergeCell ref="D20:E20"/>
    <mergeCell ref="B21:C21"/>
    <mergeCell ref="D21:E21"/>
    <mergeCell ref="B22:C22"/>
    <mergeCell ref="D22:E22"/>
    <mergeCell ref="A23:E23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65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210</v>
      </c>
      <c r="C1" s="11" t="s">
        <v>256</v>
      </c>
      <c r="D1" s="16" t="s">
        <v>598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30</v>
      </c>
      <c r="C5" s="11" t="s">
        <v>270</v>
      </c>
      <c r="D5" s="8" t="s">
        <v>321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29.25" hidden="false" customHeight="true" outlineLevel="0" collapsed="false">
      <c r="A10" s="6" t="n">
        <v>3</v>
      </c>
      <c r="B10" s="8" t="s">
        <v>599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212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213</v>
      </c>
      <c r="C18" s="11" t="s">
        <v>3</v>
      </c>
      <c r="D18" s="8" t="s">
        <v>128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19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29.25" hidden="false" customHeight="true" outlineLevel="0" collapsed="false">
      <c r="A22" s="6" t="n">
        <v>1</v>
      </c>
      <c r="B22" s="8" t="s">
        <v>600</v>
      </c>
      <c r="C22" s="8"/>
      <c r="D22" s="8" t="s">
        <v>601</v>
      </c>
      <c r="E22" s="8"/>
    </row>
    <row r="23" customFormat="false" ht="15.75" hidden="false" customHeight="true" outlineLevel="0" collapsed="false">
      <c r="A23" s="6" t="n">
        <v>2</v>
      </c>
      <c r="B23" s="8" t="s">
        <v>602</v>
      </c>
      <c r="C23" s="8"/>
      <c r="D23" s="8" t="s">
        <v>603</v>
      </c>
      <c r="E23" s="8"/>
    </row>
    <row r="24" customFormat="false" ht="15.75" hidden="false" customHeight="true" outlineLevel="0" collapsed="false">
      <c r="A24" s="6" t="n">
        <v>3</v>
      </c>
      <c r="B24" s="8" t="s">
        <v>604</v>
      </c>
      <c r="C24" s="8"/>
      <c r="D24" s="8" t="s">
        <v>605</v>
      </c>
      <c r="E24" s="8"/>
    </row>
    <row r="25" customFormat="false" ht="55.5" hidden="false" customHeight="true" outlineLevel="0" collapsed="false">
      <c r="A25" s="6" t="n">
        <v>4</v>
      </c>
      <c r="B25" s="8" t="s">
        <v>606</v>
      </c>
      <c r="C25" s="8"/>
      <c r="D25" s="16" t="s">
        <v>607</v>
      </c>
      <c r="E25" s="16"/>
    </row>
    <row r="26" customFormat="false" ht="24" hidden="false" customHeight="true" outlineLevel="0" collapsed="false">
      <c r="A26" s="24" t="s">
        <v>306</v>
      </c>
      <c r="B26" s="24"/>
      <c r="C26" s="24"/>
      <c r="D26" s="24"/>
      <c r="E26" s="24"/>
    </row>
  </sheetData>
  <mergeCells count="30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A26:E26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66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214</v>
      </c>
      <c r="C1" s="11" t="s">
        <v>256</v>
      </c>
      <c r="D1" s="16" t="s">
        <v>598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30</v>
      </c>
      <c r="C5" s="11" t="s">
        <v>270</v>
      </c>
      <c r="D5" s="8" t="s">
        <v>315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283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215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213</v>
      </c>
      <c r="C18" s="11" t="s">
        <v>3</v>
      </c>
      <c r="D18" s="8" t="s">
        <v>128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32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15.75" hidden="false" customHeight="true" outlineLevel="0" collapsed="false">
      <c r="A22" s="6" t="n">
        <v>1</v>
      </c>
      <c r="B22" s="8" t="s">
        <v>396</v>
      </c>
      <c r="C22" s="8"/>
      <c r="D22" s="8" t="s">
        <v>400</v>
      </c>
      <c r="E22" s="8"/>
    </row>
    <row r="23" customFormat="false" ht="15.75" hidden="false" customHeight="true" outlineLevel="0" collapsed="false">
      <c r="A23" s="6" t="n">
        <v>2</v>
      </c>
      <c r="B23" s="8" t="s">
        <v>608</v>
      </c>
      <c r="C23" s="8"/>
      <c r="D23" s="8" t="s">
        <v>609</v>
      </c>
      <c r="E23" s="8"/>
    </row>
    <row r="24" customFormat="false" ht="29.25" hidden="false" customHeight="true" outlineLevel="0" collapsed="false">
      <c r="A24" s="6" t="n">
        <v>3</v>
      </c>
      <c r="B24" s="8" t="s">
        <v>610</v>
      </c>
      <c r="C24" s="8"/>
      <c r="D24" s="8" t="s">
        <v>611</v>
      </c>
      <c r="E24" s="8"/>
    </row>
    <row r="25" customFormat="false" ht="29.25" hidden="false" customHeight="true" outlineLevel="0" collapsed="false">
      <c r="A25" s="6" t="n">
        <v>4</v>
      </c>
      <c r="B25" s="8" t="s">
        <v>612</v>
      </c>
      <c r="C25" s="8"/>
      <c r="D25" s="16" t="s">
        <v>613</v>
      </c>
      <c r="E25" s="16"/>
    </row>
    <row r="26" customFormat="false" ht="24" hidden="false" customHeight="true" outlineLevel="0" collapsed="false">
      <c r="A26" s="24" t="s">
        <v>306</v>
      </c>
      <c r="B26" s="24"/>
      <c r="C26" s="24"/>
      <c r="D26" s="24"/>
      <c r="E26" s="24"/>
    </row>
  </sheetData>
  <mergeCells count="30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A26:E26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67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216</v>
      </c>
      <c r="C1" s="11" t="s">
        <v>256</v>
      </c>
      <c r="D1" s="16" t="s">
        <v>598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158</v>
      </c>
      <c r="C5" s="11" t="s">
        <v>270</v>
      </c>
      <c r="D5" s="8" t="s">
        <v>315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15.75" hidden="false" customHeight="true" outlineLevel="0" collapsed="false">
      <c r="A10" s="6" t="n">
        <v>3</v>
      </c>
      <c r="B10" s="8" t="s">
        <v>283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217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213</v>
      </c>
      <c r="C18" s="11" t="s">
        <v>3</v>
      </c>
      <c r="D18" s="8" t="s">
        <v>128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32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42" hidden="false" customHeight="true" outlineLevel="0" collapsed="false">
      <c r="A22" s="6" t="n">
        <v>1</v>
      </c>
      <c r="B22" s="8" t="s">
        <v>614</v>
      </c>
      <c r="C22" s="8"/>
      <c r="D22" s="8" t="s">
        <v>615</v>
      </c>
      <c r="E22" s="8"/>
    </row>
    <row r="23" customFormat="false" ht="29.25" hidden="false" customHeight="true" outlineLevel="0" collapsed="false">
      <c r="A23" s="6" t="n">
        <v>2</v>
      </c>
      <c r="B23" s="8" t="s">
        <v>512</v>
      </c>
      <c r="C23" s="8"/>
      <c r="D23" s="16" t="s">
        <v>616</v>
      </c>
      <c r="E23" s="16"/>
    </row>
    <row r="24" customFormat="false" ht="24" hidden="false" customHeight="true" outlineLevel="0" collapsed="false">
      <c r="A24" s="24" t="s">
        <v>306</v>
      </c>
      <c r="B24" s="24"/>
      <c r="C24" s="24"/>
      <c r="D24" s="24"/>
      <c r="E24" s="24"/>
    </row>
  </sheetData>
  <mergeCells count="26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A24:E24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68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 t="s">
        <v>218</v>
      </c>
      <c r="C1" s="11" t="s">
        <v>256</v>
      </c>
      <c r="D1" s="16" t="s">
        <v>617</v>
      </c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true" outlineLevel="0" collapsed="false">
      <c r="A2" s="11" t="s">
        <v>259</v>
      </c>
      <c r="B2" s="16" t="s">
        <v>147</v>
      </c>
      <c r="C2" s="11" t="s">
        <v>260</v>
      </c>
      <c r="D2" s="16" t="s">
        <v>261</v>
      </c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 t="str">
        <f aca="false">IF(INDEX('Reporte de ejecución - Entrega1'!$G$4:$G$69,MATCH($B$1,'Reporte de ejecución - Entrega1'!$A$4:$A$69,0))="","Sin ejecutar",INDEX('Reporte de ejecución - Entrega1'!$G$4:$G$69,MATCH($B$1,'Reporte de ejecución - Entrega1'!$A$4:$A$69,0)))</f>
        <v>Sin ejecutar</v>
      </c>
      <c r="E3" s="16"/>
      <c r="G3" s="7" t="s">
        <v>267</v>
      </c>
      <c r="H3" s="10"/>
      <c r="I3" s="9"/>
      <c r="J3" s="9"/>
      <c r="K3" s="9"/>
      <c r="L3" s="9"/>
    </row>
    <row r="4" customFormat="false" ht="30" hidden="false" customHeight="true" outlineLevel="0" collapsed="false">
      <c r="G4" s="7" t="s">
        <v>268</v>
      </c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 t="s">
        <v>158</v>
      </c>
      <c r="C5" s="11" t="s">
        <v>270</v>
      </c>
      <c r="D5" s="8" t="s">
        <v>315</v>
      </c>
      <c r="E5" s="8"/>
      <c r="G5" s="7" t="s">
        <v>272</v>
      </c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29.25" hidden="false" customHeight="true" outlineLevel="0" collapsed="false">
      <c r="A8" s="6" t="n">
        <v>1</v>
      </c>
      <c r="B8" s="8" t="s">
        <v>277</v>
      </c>
      <c r="C8" s="8"/>
      <c r="D8" s="16" t="s">
        <v>278</v>
      </c>
      <c r="E8" s="8" t="s">
        <v>279</v>
      </c>
    </row>
    <row r="9" customFormat="false" ht="15.75" hidden="false" customHeight="true" outlineLevel="0" collapsed="false">
      <c r="A9" s="6" t="n">
        <v>2</v>
      </c>
      <c r="B9" s="8" t="s">
        <v>280</v>
      </c>
      <c r="C9" s="8"/>
      <c r="D9" s="16" t="s">
        <v>281</v>
      </c>
      <c r="E9" s="8" t="s">
        <v>282</v>
      </c>
    </row>
    <row r="10" customFormat="false" ht="29.25" hidden="false" customHeight="true" outlineLevel="0" collapsed="false">
      <c r="A10" s="6" t="n">
        <v>3</v>
      </c>
      <c r="B10" s="8" t="s">
        <v>618</v>
      </c>
      <c r="C10" s="8"/>
      <c r="D10" s="16" t="s">
        <v>284</v>
      </c>
      <c r="E10" s="8" t="s">
        <v>285</v>
      </c>
    </row>
    <row r="11" customFormat="false" ht="15.75" hidden="false" customHeight="true" outlineLevel="0" collapsed="false">
      <c r="A11" s="6"/>
      <c r="B11" s="8"/>
      <c r="C11" s="8"/>
      <c r="D11" s="16" t="s">
        <v>286</v>
      </c>
      <c r="E11" s="8" t="s">
        <v>261</v>
      </c>
    </row>
    <row r="12" customFormat="false" ht="15.75" hidden="false" customHeight="true" outlineLevel="0" collapsed="false">
      <c r="A12" s="6"/>
      <c r="B12" s="8"/>
      <c r="C12" s="8"/>
      <c r="D12" s="16" t="s">
        <v>287</v>
      </c>
      <c r="E12" s="8" t="s">
        <v>288</v>
      </c>
    </row>
    <row r="13" customFormat="false" ht="15.75" hidden="false" customHeight="true" outlineLevel="0" collapsed="false">
      <c r="A13" s="6"/>
      <c r="B13" s="8"/>
      <c r="C13" s="8"/>
      <c r="D13" s="16" t="s">
        <v>289</v>
      </c>
      <c r="E13" s="8" t="s">
        <v>290</v>
      </c>
    </row>
    <row r="15" customFormat="false" ht="15" hidden="false" customHeight="true" outlineLevel="0" collapsed="false">
      <c r="A15" s="11" t="s">
        <v>291</v>
      </c>
      <c r="B15" s="25" t="s">
        <v>219</v>
      </c>
      <c r="C15" s="25"/>
      <c r="D15" s="25"/>
      <c r="E15" s="25"/>
    </row>
    <row r="16" customFormat="false" ht="15" hidden="false" customHeight="false" outlineLevel="0" collapsed="false">
      <c r="A16" s="11"/>
      <c r="B16" s="11"/>
      <c r="C16" s="25"/>
      <c r="D16" s="25"/>
      <c r="E16" s="25"/>
    </row>
    <row r="18" customFormat="false" ht="18" hidden="false" customHeight="true" outlineLevel="0" collapsed="false">
      <c r="A18" s="11" t="s">
        <v>292</v>
      </c>
      <c r="B18" s="8" t="s">
        <v>220</v>
      </c>
      <c r="C18" s="11" t="s">
        <v>3</v>
      </c>
      <c r="D18" s="8" t="s">
        <v>128</v>
      </c>
      <c r="E18" s="8"/>
    </row>
    <row r="19" customFormat="false" ht="27.75" hidden="false" customHeight="true" outlineLevel="0" collapsed="false">
      <c r="A19" s="11" t="s">
        <v>293</v>
      </c>
      <c r="B19" s="8" t="s">
        <v>294</v>
      </c>
      <c r="C19" s="11" t="s">
        <v>7</v>
      </c>
      <c r="D19" s="8" t="s">
        <v>32</v>
      </c>
      <c r="E19" s="8"/>
    </row>
    <row r="21" customFormat="false" ht="15" hidden="false" customHeight="true" outlineLevel="0" collapsed="false">
      <c r="A21" s="11" t="s">
        <v>295</v>
      </c>
      <c r="B21" s="11" t="s">
        <v>296</v>
      </c>
      <c r="C21" s="11"/>
      <c r="D21" s="11" t="s">
        <v>297</v>
      </c>
      <c r="E21" s="11"/>
    </row>
    <row r="22" customFormat="false" ht="15.75" hidden="false" customHeight="true" outlineLevel="0" collapsed="false">
      <c r="A22" s="6" t="n">
        <v>1</v>
      </c>
      <c r="B22" s="8" t="s">
        <v>619</v>
      </c>
      <c r="C22" s="8"/>
      <c r="D22" s="8" t="s">
        <v>620</v>
      </c>
      <c r="E22" s="8"/>
    </row>
    <row r="23" customFormat="false" ht="55.5" hidden="false" customHeight="true" outlineLevel="0" collapsed="false">
      <c r="A23" s="6" t="n">
        <v>2</v>
      </c>
      <c r="B23" s="8" t="s">
        <v>621</v>
      </c>
      <c r="C23" s="8"/>
      <c r="D23" s="16" t="s">
        <v>622</v>
      </c>
      <c r="E23" s="16"/>
    </row>
    <row r="24" customFormat="false" ht="24" hidden="false" customHeight="true" outlineLevel="0" collapsed="false">
      <c r="A24" s="24" t="s">
        <v>306</v>
      </c>
      <c r="B24" s="24"/>
      <c r="C24" s="24"/>
      <c r="D24" s="24"/>
      <c r="E24" s="24"/>
    </row>
  </sheetData>
  <mergeCells count="26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B11:C11"/>
    <mergeCell ref="B12:C12"/>
    <mergeCell ref="B13:C13"/>
    <mergeCell ref="A15:A16"/>
    <mergeCell ref="B15:E16"/>
    <mergeCell ref="D18:E18"/>
    <mergeCell ref="D19:E19"/>
    <mergeCell ref="B21:C21"/>
    <mergeCell ref="D21:E21"/>
    <mergeCell ref="B22:C22"/>
    <mergeCell ref="D22:E22"/>
    <mergeCell ref="B23:C23"/>
    <mergeCell ref="D23:E23"/>
    <mergeCell ref="A24:E24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hyperlinks>
    <hyperlink ref="A3" r:id="rId1" location="'Reporte%20de%20ejecución%20-%20Entrega1'!A69" display="Reporte de ejecución 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.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1" t="s">
        <v>255</v>
      </c>
      <c r="B1" s="16"/>
      <c r="C1" s="11" t="s">
        <v>256</v>
      </c>
      <c r="D1" s="16"/>
      <c r="E1" s="16"/>
      <c r="G1" s="22" t="s">
        <v>258</v>
      </c>
      <c r="H1" s="22"/>
      <c r="I1" s="22"/>
      <c r="J1" s="22"/>
      <c r="K1" s="22"/>
      <c r="L1" s="22"/>
    </row>
    <row r="2" customFormat="false" ht="15" hidden="false" customHeight="false" outlineLevel="0" collapsed="false">
      <c r="A2" s="11" t="s">
        <v>259</v>
      </c>
      <c r="B2" s="16"/>
      <c r="C2" s="11" t="s">
        <v>260</v>
      </c>
      <c r="D2" s="16"/>
      <c r="E2" s="16"/>
      <c r="G2" s="15" t="s">
        <v>262</v>
      </c>
      <c r="H2" s="15" t="s">
        <v>10</v>
      </c>
      <c r="I2" s="15" t="s">
        <v>9</v>
      </c>
      <c r="J2" s="15" t="s">
        <v>8</v>
      </c>
      <c r="K2" s="15" t="s">
        <v>263</v>
      </c>
      <c r="L2" s="15" t="s">
        <v>264</v>
      </c>
    </row>
    <row r="3" customFormat="false" ht="30" hidden="false" customHeight="true" outlineLevel="0" collapsed="false">
      <c r="A3" s="23" t="s">
        <v>265</v>
      </c>
      <c r="B3" s="23"/>
      <c r="C3" s="11" t="s">
        <v>266</v>
      </c>
      <c r="D3" s="16"/>
      <c r="E3" s="16"/>
      <c r="G3" s="7"/>
      <c r="H3" s="10"/>
      <c r="I3" s="9"/>
      <c r="J3" s="9"/>
      <c r="K3" s="9"/>
      <c r="L3" s="9"/>
    </row>
    <row r="4" customFormat="false" ht="30" hidden="false" customHeight="true" outlineLevel="0" collapsed="false">
      <c r="G4" s="7"/>
      <c r="H4" s="10"/>
      <c r="I4" s="9"/>
      <c r="J4" s="9"/>
      <c r="K4" s="9"/>
      <c r="L4" s="9"/>
    </row>
    <row r="5" customFormat="false" ht="30" hidden="false" customHeight="true" outlineLevel="0" collapsed="false">
      <c r="A5" s="11" t="s">
        <v>269</v>
      </c>
      <c r="B5" s="16"/>
      <c r="C5" s="11" t="s">
        <v>270</v>
      </c>
      <c r="D5" s="8"/>
      <c r="E5" s="8"/>
      <c r="G5" s="7"/>
      <c r="H5" s="10"/>
      <c r="I5" s="9"/>
      <c r="J5" s="9"/>
      <c r="K5" s="9"/>
      <c r="L5" s="9"/>
    </row>
    <row r="6" customFormat="false" ht="15" hidden="false" customHeight="true" outlineLevel="0" collapsed="false">
      <c r="G6" s="24" t="s">
        <v>273</v>
      </c>
      <c r="H6" s="24"/>
      <c r="I6" s="24"/>
      <c r="J6" s="24"/>
      <c r="K6" s="24"/>
      <c r="L6" s="24"/>
    </row>
    <row r="7" customFormat="false" ht="15" hidden="false" customHeight="true" outlineLevel="0" collapsed="false">
      <c r="A7" s="11" t="s">
        <v>274</v>
      </c>
      <c r="B7" s="11" t="s">
        <v>275</v>
      </c>
      <c r="C7" s="11"/>
      <c r="D7" s="11" t="s">
        <v>276</v>
      </c>
      <c r="E7" s="11"/>
      <c r="G7" s="24"/>
      <c r="H7" s="24"/>
      <c r="I7" s="24"/>
      <c r="J7" s="24"/>
      <c r="K7" s="24"/>
      <c r="L7" s="24"/>
    </row>
    <row r="8" customFormat="false" ht="15.75" hidden="false" customHeight="true" outlineLevel="0" collapsed="false">
      <c r="A8" s="6" t="n">
        <v>1</v>
      </c>
      <c r="B8" s="8"/>
      <c r="C8" s="8"/>
      <c r="D8" s="16"/>
      <c r="E8" s="8"/>
    </row>
    <row r="9" customFormat="false" ht="15.75" hidden="false" customHeight="true" outlineLevel="0" collapsed="false">
      <c r="A9" s="6" t="n">
        <v>2</v>
      </c>
      <c r="B9" s="8"/>
      <c r="C9" s="8"/>
      <c r="D9" s="16"/>
      <c r="E9" s="8"/>
    </row>
    <row r="10" customFormat="false" ht="15.75" hidden="false" customHeight="true" outlineLevel="0" collapsed="false">
      <c r="A10" s="6" t="n">
        <v>3</v>
      </c>
      <c r="B10" s="8"/>
      <c r="C10" s="8"/>
      <c r="D10" s="16"/>
      <c r="E10" s="8"/>
    </row>
    <row r="12" customFormat="false" ht="15" hidden="false" customHeight="true" outlineLevel="0" collapsed="false">
      <c r="A12" s="11" t="s">
        <v>291</v>
      </c>
      <c r="B12" s="25"/>
      <c r="C12" s="25"/>
      <c r="D12" s="25"/>
      <c r="E12" s="25"/>
    </row>
    <row r="13" customFormat="false" ht="15" hidden="false" customHeight="false" outlineLevel="0" collapsed="false">
      <c r="A13" s="11"/>
      <c r="B13" s="11"/>
      <c r="C13" s="25"/>
      <c r="D13" s="25"/>
      <c r="E13" s="25"/>
    </row>
    <row r="15" customFormat="false" ht="18" hidden="false" customHeight="true" outlineLevel="0" collapsed="false">
      <c r="A15" s="11" t="s">
        <v>292</v>
      </c>
      <c r="B15" s="8"/>
      <c r="C15" s="11" t="s">
        <v>3</v>
      </c>
      <c r="D15" s="8"/>
      <c r="E15" s="8"/>
    </row>
    <row r="16" customFormat="false" ht="27.75" hidden="false" customHeight="true" outlineLevel="0" collapsed="false">
      <c r="A16" s="11" t="s">
        <v>293</v>
      </c>
      <c r="B16" s="8"/>
      <c r="C16" s="11" t="s">
        <v>7</v>
      </c>
      <c r="D16" s="8"/>
      <c r="E16" s="8"/>
    </row>
    <row r="18" customFormat="false" ht="15" hidden="false" customHeight="true" outlineLevel="0" collapsed="false">
      <c r="A18" s="11" t="s">
        <v>295</v>
      </c>
      <c r="B18" s="11" t="s">
        <v>296</v>
      </c>
      <c r="C18" s="11"/>
      <c r="D18" s="11" t="s">
        <v>297</v>
      </c>
      <c r="E18" s="11"/>
    </row>
    <row r="19" customFormat="false" ht="15.75" hidden="false" customHeight="true" outlineLevel="0" collapsed="false">
      <c r="A19" s="6" t="n">
        <v>1</v>
      </c>
      <c r="B19" s="8"/>
      <c r="C19" s="8"/>
      <c r="D19" s="8"/>
      <c r="E19" s="8"/>
    </row>
    <row r="20" customFormat="false" ht="15.75" hidden="false" customHeight="true" outlineLevel="0" collapsed="false">
      <c r="A20" s="6" t="n">
        <v>2</v>
      </c>
      <c r="B20" s="8"/>
      <c r="C20" s="8"/>
      <c r="D20" s="8"/>
      <c r="E20" s="8"/>
    </row>
    <row r="21" customFormat="false" ht="15.75" hidden="false" customHeight="true" outlineLevel="0" collapsed="false">
      <c r="A21" s="6" t="n">
        <v>3</v>
      </c>
      <c r="B21" s="8"/>
      <c r="C21" s="8"/>
      <c r="D21" s="8"/>
      <c r="E21" s="8"/>
    </row>
    <row r="22" customFormat="false" ht="24" hidden="false" customHeight="true" outlineLevel="0" collapsed="false">
      <c r="A22" s="24" t="s">
        <v>306</v>
      </c>
      <c r="B22" s="24"/>
      <c r="C22" s="24"/>
      <c r="D22" s="24"/>
      <c r="E22" s="24"/>
    </row>
  </sheetData>
  <mergeCells count="25">
    <mergeCell ref="D1:E1"/>
    <mergeCell ref="G1:L1"/>
    <mergeCell ref="D2:E2"/>
    <mergeCell ref="A3:B3"/>
    <mergeCell ref="D3:E3"/>
    <mergeCell ref="D5:E5"/>
    <mergeCell ref="G6:L7"/>
    <mergeCell ref="B7:C7"/>
    <mergeCell ref="D7:E7"/>
    <mergeCell ref="B8:C8"/>
    <mergeCell ref="B9:C9"/>
    <mergeCell ref="B10:C10"/>
    <mergeCell ref="A12:A13"/>
    <mergeCell ref="B12:E13"/>
    <mergeCell ref="D15:E15"/>
    <mergeCell ref="D16:E16"/>
    <mergeCell ref="B18:C18"/>
    <mergeCell ref="D18:E18"/>
    <mergeCell ref="B19:C19"/>
    <mergeCell ref="D19:E19"/>
    <mergeCell ref="B20:C20"/>
    <mergeCell ref="D20:E20"/>
    <mergeCell ref="B21:C21"/>
    <mergeCell ref="D21:E21"/>
    <mergeCell ref="A22:E22"/>
  </mergeCells>
  <dataValidations count="1">
    <dataValidation allowBlank="true" errorStyle="stop" operator="between" showDropDown="false" showErrorMessage="false" showInputMessage="false" sqref="J3:J5" type="list">
      <formula1>"Aprobado,Fallido,Bloqueado,No ejecutado,No aplica"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0"/>
  </cols>
  <sheetData>
    <row r="1" customFormat="false" ht="16.15" hidden="false" customHeight="true" outlineLevel="0" collapsed="false">
      <c r="A1" s="26" t="s">
        <v>623</v>
      </c>
      <c r="B1" s="26"/>
    </row>
    <row r="2" customFormat="false" ht="25.5" hidden="false" customHeight="true" outlineLevel="0" collapsed="false">
      <c r="A2" s="2" t="s">
        <v>624</v>
      </c>
      <c r="B2" s="2"/>
    </row>
    <row r="4" customFormat="false" ht="15.75" hidden="false" customHeight="true" outlineLevel="0" collapsed="false">
      <c r="A4" s="11" t="s">
        <v>224</v>
      </c>
      <c r="B4" s="27" t="s">
        <v>625</v>
      </c>
    </row>
    <row r="5" customFormat="false" ht="29.25" hidden="false" customHeight="true" outlineLevel="0" collapsed="false">
      <c r="A5" s="11" t="s">
        <v>5</v>
      </c>
      <c r="B5" s="27" t="s">
        <v>626</v>
      </c>
    </row>
    <row r="6" customFormat="false" ht="15.75" hidden="false" customHeight="true" outlineLevel="0" collapsed="false">
      <c r="A6" s="11" t="s">
        <v>225</v>
      </c>
      <c r="B6" s="27" t="s">
        <v>627</v>
      </c>
    </row>
    <row r="7" customFormat="false" ht="29.25" hidden="false" customHeight="true" outlineLevel="0" collapsed="false">
      <c r="A7" s="11" t="s">
        <v>6</v>
      </c>
      <c r="B7" s="27" t="s">
        <v>628</v>
      </c>
    </row>
    <row r="8" customFormat="false" ht="15.75" hidden="false" customHeight="true" outlineLevel="0" collapsed="false">
      <c r="A8" s="11" t="s">
        <v>227</v>
      </c>
      <c r="B8" s="27" t="s">
        <v>629</v>
      </c>
    </row>
    <row r="9" customFormat="false" ht="15.75" hidden="false" customHeight="true" outlineLevel="0" collapsed="false">
      <c r="A9" s="11" t="s">
        <v>4</v>
      </c>
      <c r="B9" s="27" t="s">
        <v>630</v>
      </c>
    </row>
    <row r="10" customFormat="false" ht="29.25" hidden="false" customHeight="true" outlineLevel="0" collapsed="false">
      <c r="A10" s="11" t="s">
        <v>8</v>
      </c>
      <c r="B10" s="27" t="s">
        <v>631</v>
      </c>
    </row>
    <row r="11" customFormat="false" ht="15.75" hidden="false" customHeight="true" outlineLevel="0" collapsed="false">
      <c r="A11" s="11" t="s">
        <v>228</v>
      </c>
      <c r="B11" s="27" t="s">
        <v>632</v>
      </c>
    </row>
    <row r="12" customFormat="false" ht="15.75" hidden="false" customHeight="true" outlineLevel="0" collapsed="false">
      <c r="A12" s="11" t="s">
        <v>633</v>
      </c>
      <c r="B12" s="27" t="s">
        <v>634</v>
      </c>
    </row>
    <row r="13" customFormat="false" ht="39.75" hidden="false" customHeight="true" outlineLevel="0" collapsed="false">
      <c r="A13" s="11" t="s">
        <v>635</v>
      </c>
      <c r="B13" s="27" t="s">
        <v>636</v>
      </c>
    </row>
    <row r="14" customFormat="false" ht="79.5" hidden="false" customHeight="true" outlineLevel="0" collapsed="false">
      <c r="A14" s="11" t="s">
        <v>637</v>
      </c>
      <c r="B14" s="27" t="s">
        <v>638</v>
      </c>
    </row>
    <row r="15" customFormat="false" ht="29.25" hidden="false" customHeight="true" outlineLevel="0" collapsed="false">
      <c r="A15" s="11" t="s">
        <v>297</v>
      </c>
      <c r="B15" s="27" t="s">
        <v>639</v>
      </c>
    </row>
    <row r="16" customFormat="false" ht="39.75" hidden="false" customHeight="true" outlineLevel="0" collapsed="false">
      <c r="A16" s="11" t="s">
        <v>263</v>
      </c>
      <c r="B16" s="27" t="s">
        <v>640</v>
      </c>
    </row>
    <row r="17" customFormat="false" ht="15.75" hidden="false" customHeight="true" outlineLevel="0" collapsed="false">
      <c r="A17" s="11" t="s">
        <v>230</v>
      </c>
      <c r="B17" s="27" t="s">
        <v>641</v>
      </c>
    </row>
    <row r="18" customFormat="false" ht="15.75" hidden="false" customHeight="true" outlineLevel="0" collapsed="false">
      <c r="A18" s="11" t="s">
        <v>642</v>
      </c>
      <c r="B18" s="27" t="s">
        <v>643</v>
      </c>
    </row>
    <row r="19" customFormat="false" ht="15.75" hidden="false" customHeight="true" outlineLevel="0" collapsed="false">
      <c r="A19" s="11" t="s">
        <v>231</v>
      </c>
      <c r="B19" s="27" t="s">
        <v>644</v>
      </c>
    </row>
    <row r="20" customFormat="false" ht="15.75" hidden="false" customHeight="true" outlineLevel="0" collapsed="false">
      <c r="A20" s="11" t="s">
        <v>232</v>
      </c>
      <c r="B20" s="27" t="s">
        <v>645</v>
      </c>
    </row>
    <row r="21" customFormat="false" ht="15.75" hidden="false" customHeight="true" outlineLevel="0" collapsed="false">
      <c r="A21" s="11" t="s">
        <v>10</v>
      </c>
      <c r="B21" s="27" t="s">
        <v>646</v>
      </c>
    </row>
  </sheetData>
  <mergeCells count="2">
    <mergeCell ref="A1:B1"/>
    <mergeCell ref="A2:B2"/>
  </mergeCells>
  <dataValidations count="3">
    <dataValidation allowBlank="true" errorStyle="stop" operator="between" showDropDown="false" showErrorMessage="false" showInputMessage="false" sqref="B8" type="list">
      <formula1>"Bloqueante,Crítica,Mayor,Menor,Trivial"</formula1>
      <formula2>0</formula2>
    </dataValidation>
    <dataValidation allowBlank="true" errorStyle="stop" operator="between" showDropDown="false" showErrorMessage="false" showInputMessage="false" sqref="B9" type="list">
      <formula1>"Alta,Media,Baja"</formula1>
      <formula2>0</formula2>
    </dataValidation>
    <dataValidation allowBlank="true" errorStyle="stop" operator="between" showDropDown="false" showErrorMessage="false" showInputMessage="false" sqref="B10" type="list">
      <formula1>"Nuevo,Confirmado,No reproducible,En corrección,Corregido,Verificado,Diferido,Rechazado"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2026-09-27T14:52:15Z</dcterms:created>
  <dc:creator>openpyxl</dc:creator>
  <dc:description/>
  <dc:language>en-US</dc:language>
  <cp:lastModifiedBy/>
  <dcterms:modified xsi:type="dcterms:W3CDTF">2026-09-27T14:52:16Z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