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e de ejecución - Entrega2" sheetId="1" state="visible" r:id="rId1"/>
    <sheet xmlns:r="http://schemas.openxmlformats.org/officeDocument/2006/relationships" name="Registro de defectos" sheetId="2" state="visible" r:id="rId2"/>
    <sheet xmlns:r="http://schemas.openxmlformats.org/officeDocument/2006/relationships" name="CP-001" sheetId="3" state="visible" r:id="rId3"/>
    <sheet xmlns:r="http://schemas.openxmlformats.org/officeDocument/2006/relationships" name="CP-002" sheetId="4" state="visible" r:id="rId4"/>
    <sheet xmlns:r="http://schemas.openxmlformats.org/officeDocument/2006/relationships" name="CP-003" sheetId="5" state="visible" r:id="rId5"/>
    <sheet xmlns:r="http://schemas.openxmlformats.org/officeDocument/2006/relationships" name="CP-004" sheetId="6" state="visible" r:id="rId6"/>
    <sheet xmlns:r="http://schemas.openxmlformats.org/officeDocument/2006/relationships" name="CP-005" sheetId="7" state="visible" r:id="rId7"/>
    <sheet xmlns:r="http://schemas.openxmlformats.org/officeDocument/2006/relationships" name="CP-006" sheetId="8" state="visible" r:id="rId8"/>
    <sheet xmlns:r="http://schemas.openxmlformats.org/officeDocument/2006/relationships" name="CP-007" sheetId="9" state="visible" r:id="rId9"/>
    <sheet xmlns:r="http://schemas.openxmlformats.org/officeDocument/2006/relationships" name="CP-008" sheetId="10" state="visible" r:id="rId10"/>
    <sheet xmlns:r="http://schemas.openxmlformats.org/officeDocument/2006/relationships" name="CP-009" sheetId="11" state="visible" r:id="rId11"/>
    <sheet xmlns:r="http://schemas.openxmlformats.org/officeDocument/2006/relationships" name="CP-010" sheetId="12" state="visible" r:id="rId12"/>
    <sheet xmlns:r="http://schemas.openxmlformats.org/officeDocument/2006/relationships" name="CP-011" sheetId="13" state="visible" r:id="rId13"/>
    <sheet xmlns:r="http://schemas.openxmlformats.org/officeDocument/2006/relationships" name="CP-012" sheetId="14" state="visible" r:id="rId14"/>
    <sheet xmlns:r="http://schemas.openxmlformats.org/officeDocument/2006/relationships" name="CP-013" sheetId="15" state="visible" r:id="rId15"/>
    <sheet xmlns:r="http://schemas.openxmlformats.org/officeDocument/2006/relationships" name="CP-014" sheetId="16" state="visible" r:id="rId16"/>
    <sheet xmlns:r="http://schemas.openxmlformats.org/officeDocument/2006/relationships" name="CP-015" sheetId="17" state="visible" r:id="rId17"/>
    <sheet xmlns:r="http://schemas.openxmlformats.org/officeDocument/2006/relationships" name="CP-016" sheetId="18" state="visible" r:id="rId18"/>
    <sheet xmlns:r="http://schemas.openxmlformats.org/officeDocument/2006/relationships" name="CP-017" sheetId="19" state="visible" r:id="rId19"/>
    <sheet xmlns:r="http://schemas.openxmlformats.org/officeDocument/2006/relationships" name="CP-018" sheetId="20" state="visible" r:id="rId20"/>
    <sheet xmlns:r="http://schemas.openxmlformats.org/officeDocument/2006/relationships" name="CP-019" sheetId="21" state="visible" r:id="rId21"/>
    <sheet xmlns:r="http://schemas.openxmlformats.org/officeDocument/2006/relationships" name="CP-020" sheetId="22" state="visible" r:id="rId22"/>
    <sheet xmlns:r="http://schemas.openxmlformats.org/officeDocument/2006/relationships" name="CP-021" sheetId="23" state="visible" r:id="rId23"/>
    <sheet xmlns:r="http://schemas.openxmlformats.org/officeDocument/2006/relationships" name="CP-022" sheetId="24" state="visible" r:id="rId24"/>
    <sheet xmlns:r="http://schemas.openxmlformats.org/officeDocument/2006/relationships" name="CP-023" sheetId="25" state="visible" r:id="rId25"/>
    <sheet xmlns:r="http://schemas.openxmlformats.org/officeDocument/2006/relationships" name="CP-024" sheetId="26" state="visible" r:id="rId26"/>
    <sheet xmlns:r="http://schemas.openxmlformats.org/officeDocument/2006/relationships" name="CP-025" sheetId="27" state="visible" r:id="rId27"/>
    <sheet xmlns:r="http://schemas.openxmlformats.org/officeDocument/2006/relationships" name="CP-026" sheetId="28" state="visible" r:id="rId28"/>
    <sheet xmlns:r="http://schemas.openxmlformats.org/officeDocument/2006/relationships" name="CP-027" sheetId="29" state="visible" r:id="rId29"/>
    <sheet xmlns:r="http://schemas.openxmlformats.org/officeDocument/2006/relationships" name="CP-028" sheetId="30" state="visible" r:id="rId30"/>
    <sheet xmlns:r="http://schemas.openxmlformats.org/officeDocument/2006/relationships" name="CP-029" sheetId="31" state="visible" r:id="rId31"/>
    <sheet xmlns:r="http://schemas.openxmlformats.org/officeDocument/2006/relationships" name="CP-030" sheetId="32" state="visible" r:id="rId32"/>
    <sheet xmlns:r="http://schemas.openxmlformats.org/officeDocument/2006/relationships" name="CP-031" sheetId="33" state="visible" r:id="rId33"/>
    <sheet xmlns:r="http://schemas.openxmlformats.org/officeDocument/2006/relationships" name="CP-032" sheetId="34" state="visible" r:id="rId34"/>
    <sheet xmlns:r="http://schemas.openxmlformats.org/officeDocument/2006/relationships" name="CP-033" sheetId="35" state="visible" r:id="rId35"/>
    <sheet xmlns:r="http://schemas.openxmlformats.org/officeDocument/2006/relationships" name="CP-034" sheetId="36" state="visible" r:id="rId36"/>
    <sheet xmlns:r="http://schemas.openxmlformats.org/officeDocument/2006/relationships" name="CP-035" sheetId="37" state="visible" r:id="rId37"/>
    <sheet xmlns:r="http://schemas.openxmlformats.org/officeDocument/2006/relationships" name="CP-036" sheetId="38" state="visible" r:id="rId38"/>
    <sheet xmlns:r="http://schemas.openxmlformats.org/officeDocument/2006/relationships" name="CP-037" sheetId="39" state="visible" r:id="rId39"/>
    <sheet xmlns:r="http://schemas.openxmlformats.org/officeDocument/2006/relationships" name="CP-038" sheetId="40" state="visible" r:id="rId40"/>
    <sheet xmlns:r="http://schemas.openxmlformats.org/officeDocument/2006/relationships" name="CP-039" sheetId="41" state="visible" r:id="rId41"/>
    <sheet xmlns:r="http://schemas.openxmlformats.org/officeDocument/2006/relationships" name="CP-040" sheetId="42" state="visible" r:id="rId42"/>
    <sheet xmlns:r="http://schemas.openxmlformats.org/officeDocument/2006/relationships" name="CP-041" sheetId="43" state="visible" r:id="rId43"/>
    <sheet xmlns:r="http://schemas.openxmlformats.org/officeDocument/2006/relationships" name="CP-042" sheetId="44" state="visible" r:id="rId44"/>
    <sheet xmlns:r="http://schemas.openxmlformats.org/officeDocument/2006/relationships" name="CP-043" sheetId="45" state="visible" r:id="rId45"/>
    <sheet xmlns:r="http://schemas.openxmlformats.org/officeDocument/2006/relationships" name="CP-044" sheetId="46" state="visible" r:id="rId46"/>
    <sheet xmlns:r="http://schemas.openxmlformats.org/officeDocument/2006/relationships" name="CP-045" sheetId="47" state="visible" r:id="rId47"/>
    <sheet xmlns:r="http://schemas.openxmlformats.org/officeDocument/2006/relationships" name="CP-046" sheetId="48" state="visible" r:id="rId48"/>
    <sheet xmlns:r="http://schemas.openxmlformats.org/officeDocument/2006/relationships" name="CP-047" sheetId="49" state="visible" r:id="rId49"/>
    <sheet xmlns:r="http://schemas.openxmlformats.org/officeDocument/2006/relationships" name="CP-048" sheetId="50" state="visible" r:id="rId50"/>
    <sheet xmlns:r="http://schemas.openxmlformats.org/officeDocument/2006/relationships" name="CP-049" sheetId="51" state="visible" r:id="rId51"/>
    <sheet xmlns:r="http://schemas.openxmlformats.org/officeDocument/2006/relationships" name="CP-050" sheetId="52" state="visible" r:id="rId52"/>
    <sheet xmlns:r="http://schemas.openxmlformats.org/officeDocument/2006/relationships" name="CP-051" sheetId="53" state="visible" r:id="rId53"/>
    <sheet xmlns:r="http://schemas.openxmlformats.org/officeDocument/2006/relationships" name="CP-052" sheetId="54" state="visible" r:id="rId54"/>
    <sheet xmlns:r="http://schemas.openxmlformats.org/officeDocument/2006/relationships" name="CP-053" sheetId="55" state="visible" r:id="rId55"/>
    <sheet xmlns:r="http://schemas.openxmlformats.org/officeDocument/2006/relationships" name="CP-054" sheetId="56" state="visible" r:id="rId56"/>
    <sheet xmlns:r="http://schemas.openxmlformats.org/officeDocument/2006/relationships" name="CP-055" sheetId="57" state="visible" r:id="rId57"/>
    <sheet xmlns:r="http://schemas.openxmlformats.org/officeDocument/2006/relationships" name="CP-056" sheetId="58" state="visible" r:id="rId58"/>
    <sheet xmlns:r="http://schemas.openxmlformats.org/officeDocument/2006/relationships" name="CP-057" sheetId="59" state="visible" r:id="rId59"/>
    <sheet xmlns:r="http://schemas.openxmlformats.org/officeDocument/2006/relationships" name="CP-058" sheetId="60" state="visible" r:id="rId60"/>
    <sheet xmlns:r="http://schemas.openxmlformats.org/officeDocument/2006/relationships" name="CP-059" sheetId="61" state="visible" r:id="rId61"/>
    <sheet xmlns:r="http://schemas.openxmlformats.org/officeDocument/2006/relationships" name="CP-060" sheetId="62" state="visible" r:id="rId62"/>
    <sheet xmlns:r="http://schemas.openxmlformats.org/officeDocument/2006/relationships" name="CP-061" sheetId="63" state="visible" r:id="rId63"/>
    <sheet xmlns:r="http://schemas.openxmlformats.org/officeDocument/2006/relationships" name="CP-062" sheetId="64" state="visible" r:id="rId64"/>
    <sheet xmlns:r="http://schemas.openxmlformats.org/officeDocument/2006/relationships" name="CP-063" sheetId="65" state="visible" r:id="rId65"/>
    <sheet xmlns:r="http://schemas.openxmlformats.org/officeDocument/2006/relationships" name="CP-064" sheetId="66" state="visible" r:id="rId66"/>
    <sheet xmlns:r="http://schemas.openxmlformats.org/officeDocument/2006/relationships" name="CP-065" sheetId="67" state="visible" r:id="rId67"/>
    <sheet xmlns:r="http://schemas.openxmlformats.org/officeDocument/2006/relationships" name="CP-066" sheetId="68" state="visible" r:id="rId68"/>
    <sheet xmlns:r="http://schemas.openxmlformats.org/officeDocument/2006/relationships" name="CP-067" sheetId="69" state="visible" r:id="rId69"/>
    <sheet xmlns:r="http://schemas.openxmlformats.org/officeDocument/2006/relationships" name="CP-068" sheetId="70" state="visible" r:id="rId70"/>
    <sheet xmlns:r="http://schemas.openxmlformats.org/officeDocument/2006/relationships" name="CP-069" sheetId="71" state="visible" r:id="rId71"/>
    <sheet xmlns:r="http://schemas.openxmlformats.org/officeDocument/2006/relationships" name="CP-070" sheetId="72" state="visible" r:id="rId72"/>
    <sheet xmlns:r="http://schemas.openxmlformats.org/officeDocument/2006/relationships" name="CP-071" sheetId="73" state="visible" r:id="rId73"/>
    <sheet xmlns:r="http://schemas.openxmlformats.org/officeDocument/2006/relationships" name="CP-072" sheetId="74" state="visible" r:id="rId74"/>
    <sheet xmlns:r="http://schemas.openxmlformats.org/officeDocument/2006/relationships" name="CP-073" sheetId="75" state="visible" r:id="rId75"/>
    <sheet xmlns:r="http://schemas.openxmlformats.org/officeDocument/2006/relationships" name="CP-074" sheetId="76" state="visible" r:id="rId76"/>
    <sheet xmlns:r="http://schemas.openxmlformats.org/officeDocument/2006/relationships" name="CP-075" sheetId="77" state="visible" r:id="rId77"/>
    <sheet xmlns:r="http://schemas.openxmlformats.org/officeDocument/2006/relationships" name="CP-076" sheetId="78" state="visible" r:id="rId78"/>
    <sheet xmlns:r="http://schemas.openxmlformats.org/officeDocument/2006/relationships" name="CP-077" sheetId="79" state="visible" r:id="rId79"/>
    <sheet xmlns:r="http://schemas.openxmlformats.org/officeDocument/2006/relationships" name="CP-078" sheetId="80" state="visible" r:id="rId80"/>
    <sheet xmlns:r="http://schemas.openxmlformats.org/officeDocument/2006/relationships" name="CP-079" sheetId="81" state="visible" r:id="rId81"/>
    <sheet xmlns:r="http://schemas.openxmlformats.org/officeDocument/2006/relationships" name="CP-080" sheetId="82" state="visible" r:id="rId82"/>
    <sheet xmlns:r="http://schemas.openxmlformats.org/officeDocument/2006/relationships" name="CP-081" sheetId="83" state="visible" r:id="rId83"/>
    <sheet xmlns:r="http://schemas.openxmlformats.org/officeDocument/2006/relationships" name="CP-082" sheetId="84" state="visible" r:id="rId84"/>
    <sheet xmlns:r="http://schemas.openxmlformats.org/officeDocument/2006/relationships" name="CP-083" sheetId="85" state="visible" r:id="rId85"/>
    <sheet xmlns:r="http://schemas.openxmlformats.org/officeDocument/2006/relationships" name="CP-084" sheetId="86" state="visible" r:id="rId86"/>
    <sheet xmlns:r="http://schemas.openxmlformats.org/officeDocument/2006/relationships" name="CP-085" sheetId="87" state="visible" r:id="rId87"/>
    <sheet xmlns:r="http://schemas.openxmlformats.org/officeDocument/2006/relationships" name="CP-086" sheetId="88" state="visible" r:id="rId88"/>
    <sheet xmlns:r="http://schemas.openxmlformats.org/officeDocument/2006/relationships" name="CP-087" sheetId="89" state="visible" r:id="rId89"/>
    <sheet xmlns:r="http://schemas.openxmlformats.org/officeDocument/2006/relationships" name="CP-088" sheetId="90" state="visible" r:id="rId90"/>
    <sheet xmlns:r="http://schemas.openxmlformats.org/officeDocument/2006/relationships" name="CP-089" sheetId="91" state="visible" r:id="rId91"/>
    <sheet xmlns:r="http://schemas.openxmlformats.org/officeDocument/2006/relationships" name="CP-090" sheetId="92" state="visible" r:id="rId92"/>
    <sheet xmlns:r="http://schemas.openxmlformats.org/officeDocument/2006/relationships" name="CP-091" sheetId="93" state="visible" r:id="rId93"/>
    <sheet xmlns:r="http://schemas.openxmlformats.org/officeDocument/2006/relationships" name="CP-092" sheetId="94" state="visible" r:id="rId94"/>
    <sheet xmlns:r="http://schemas.openxmlformats.org/officeDocument/2006/relationships" name="CP-093" sheetId="95" state="visible" r:id="rId95"/>
    <sheet xmlns:r="http://schemas.openxmlformats.org/officeDocument/2006/relationships" name="CP-094" sheetId="96" state="visible" r:id="rId96"/>
    <sheet xmlns:r="http://schemas.openxmlformats.org/officeDocument/2006/relationships" name="CP-095" sheetId="97" state="visible" r:id="rId97"/>
    <sheet xmlns:r="http://schemas.openxmlformats.org/officeDocument/2006/relationships" name="CP-096" sheetId="98" state="visible" r:id="rId98"/>
    <sheet xmlns:r="http://schemas.openxmlformats.org/officeDocument/2006/relationships" name="CP-097" sheetId="99" state="visible" r:id="rId99"/>
    <sheet xmlns:r="http://schemas.openxmlformats.org/officeDocument/2006/relationships" name="CP-098" sheetId="100" state="visible" r:id="rId100"/>
    <sheet xmlns:r="http://schemas.openxmlformats.org/officeDocument/2006/relationships" name="CP-099" sheetId="101" state="visible" r:id="rId101"/>
    <sheet xmlns:r="http://schemas.openxmlformats.org/officeDocument/2006/relationships" name="CP-100" sheetId="102" state="visible" r:id="rId102"/>
    <sheet xmlns:r="http://schemas.openxmlformats.org/officeDocument/2006/relationships" name="CP-101" sheetId="103" state="visible" r:id="rId103"/>
    <sheet xmlns:r="http://schemas.openxmlformats.org/officeDocument/2006/relationships" name="CP-102" sheetId="104" state="visible" r:id="rId104"/>
    <sheet xmlns:r="http://schemas.openxmlformats.org/officeDocument/2006/relationships" name="CP-103" sheetId="105" state="visible" r:id="rId105"/>
    <sheet xmlns:r="http://schemas.openxmlformats.org/officeDocument/2006/relationships" name="CP-104" sheetId="106" state="visible" r:id="rId106"/>
    <sheet xmlns:r="http://schemas.openxmlformats.org/officeDocument/2006/relationships" name="CP-105" sheetId="107" state="visible" r:id="rId107"/>
    <sheet xmlns:r="http://schemas.openxmlformats.org/officeDocument/2006/relationships" name="CP-141" sheetId="108" state="visible" r:id="rId108"/>
    <sheet xmlns:r="http://schemas.openxmlformats.org/officeDocument/2006/relationships" name="CP-142" sheetId="109" state="visible" r:id="rId109"/>
    <sheet xmlns:r="http://schemas.openxmlformats.org/officeDocument/2006/relationships" name="CP-143" sheetId="110" state="visible" r:id="rId110"/>
    <sheet xmlns:r="http://schemas.openxmlformats.org/officeDocument/2006/relationships" name="CP-144" sheetId="111" state="visible" r:id="rId111"/>
    <sheet xmlns:r="http://schemas.openxmlformats.org/officeDocument/2006/relationships" name="CP-145" sheetId="112" state="visible" r:id="rId112"/>
    <sheet xmlns:r="http://schemas.openxmlformats.org/officeDocument/2006/relationships" name="CP-146" sheetId="113" state="visible" r:id="rId113"/>
    <sheet xmlns:r="http://schemas.openxmlformats.org/officeDocument/2006/relationships" name="CP-147" sheetId="114" state="visible" r:id="rId114"/>
    <sheet xmlns:r="http://schemas.openxmlformats.org/officeDocument/2006/relationships" name="CP-148" sheetId="115" state="visible" r:id="rId115"/>
    <sheet xmlns:r="http://schemas.openxmlformats.org/officeDocument/2006/relationships" name="CP-149" sheetId="116" state="visible" r:id="rId116"/>
    <sheet xmlns:r="http://schemas.openxmlformats.org/officeDocument/2006/relationships" name="CP-150" sheetId="117" state="visible" r:id="rId117"/>
    <sheet xmlns:r="http://schemas.openxmlformats.org/officeDocument/2006/relationships" name="CP-151" sheetId="118" state="visible" r:id="rId118"/>
    <sheet xmlns:r="http://schemas.openxmlformats.org/officeDocument/2006/relationships" name="CP-152" sheetId="119" state="visible" r:id="rId119"/>
    <sheet xmlns:r="http://schemas.openxmlformats.org/officeDocument/2006/relationships" name="CP-153" sheetId="120" state="visible" r:id="rId120"/>
    <sheet xmlns:r="http://schemas.openxmlformats.org/officeDocument/2006/relationships" name="CP-154" sheetId="121" state="visible" r:id="rId121"/>
    <sheet xmlns:r="http://schemas.openxmlformats.org/officeDocument/2006/relationships" name="CP-155" sheetId="122" state="visible" r:id="rId122"/>
    <sheet xmlns:r="http://schemas.openxmlformats.org/officeDocument/2006/relationships" name="CP-156" sheetId="123" state="visible" r:id="rId123"/>
    <sheet xmlns:r="http://schemas.openxmlformats.org/officeDocument/2006/relationships" name="CP-157" sheetId="124" state="visible" r:id="rId124"/>
    <sheet xmlns:r="http://schemas.openxmlformats.org/officeDocument/2006/relationships" name="CP-158" sheetId="125" state="visible" r:id="rId125"/>
    <sheet xmlns:r="http://schemas.openxmlformats.org/officeDocument/2006/relationships" name="CP-159" sheetId="126" state="visible" r:id="rId126"/>
    <sheet xmlns:r="http://schemas.openxmlformats.org/officeDocument/2006/relationships" name="CP-160" sheetId="127" state="visible" r:id="rId127"/>
    <sheet xmlns:r="http://schemas.openxmlformats.org/officeDocument/2006/relationships" name="CP-161" sheetId="128" state="visible" r:id="rId128"/>
    <sheet xmlns:r="http://schemas.openxmlformats.org/officeDocument/2006/relationships" name="CP-162" sheetId="129" state="visible" r:id="rId129"/>
    <sheet xmlns:r="http://schemas.openxmlformats.org/officeDocument/2006/relationships" name="CP-163" sheetId="130" state="visible" r:id="rId130"/>
    <sheet xmlns:r="http://schemas.openxmlformats.org/officeDocument/2006/relationships" name="DEF-001" sheetId="131" state="visible" r:id="rId131"/>
    <sheet xmlns:r="http://schemas.openxmlformats.org/officeDocument/2006/relationships" name="DEF-002" sheetId="132" state="visible" r:id="rId132"/>
    <sheet xmlns:r="http://schemas.openxmlformats.org/officeDocument/2006/relationships" name="DEF-003" sheetId="133" state="visible" r:id="rId133"/>
    <sheet xmlns:r="http://schemas.openxmlformats.org/officeDocument/2006/relationships" name="CP - Plantilla" sheetId="134" state="visible" r:id="rId134"/>
    <sheet xmlns:r="http://schemas.openxmlformats.org/officeDocument/2006/relationships" name="DF - Plantilla" sheetId="135" state="visible" r:id="rId135"/>
  </sheets>
  <definedNames>
    <definedName name="_xlnm._FilterDatabase" localSheetId="0" hidden="1">'Reporte de ejecución - Entrega2'!$A$3:$N$132</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3">
    <font>
      <name val="Calibri"/>
      <family val="2"/>
      <color theme="1"/>
      <sz val="11"/>
      <scheme val="minor"/>
    </font>
    <font>
      <name val="Arial"/>
      <b val="1"/>
      <sz val="15"/>
    </font>
    <font>
      <name val="Arial"/>
      <i val="1"/>
      <color rgb="00595959"/>
      <sz val="9"/>
    </font>
    <font>
      <name val="Arial"/>
      <b val="1"/>
      <color rgb="00FFFFFF"/>
      <sz val="10"/>
    </font>
    <font>
      <name val="Arial"/>
      <color rgb="000563C1"/>
      <sz val="10"/>
      <u val="single"/>
    </font>
    <font>
      <name val="Arial"/>
      <sz val="10"/>
    </font>
    <font>
      <name val="Arial"/>
      <color rgb="000000FF"/>
      <sz val="10"/>
    </font>
    <font>
      <name val="Arial"/>
      <b val="1"/>
      <color rgb="00FFFFFF"/>
      <sz val="11"/>
    </font>
    <font>
      <name val="Arial"/>
      <b val="1"/>
      <sz val="10"/>
    </font>
    <font>
      <name val="Arial"/>
      <i val="1"/>
      <color rgb="00595959"/>
      <sz val="8"/>
    </font>
    <font>
      <name val="Arial"/>
      <b val="1"/>
      <sz val="11"/>
    </font>
    <font>
      <name val="Arial"/>
      <b val="1"/>
      <sz val="13"/>
    </font>
    <font>
      <name val="Arial"/>
      <i val="1"/>
      <color rgb="00808080"/>
      <sz val="10"/>
    </font>
  </fonts>
  <fills count="8">
    <fill>
      <patternFill/>
    </fill>
    <fill>
      <patternFill patternType="gray125"/>
    </fill>
    <fill>
      <patternFill patternType="solid">
        <fgColor rgb="004472C4"/>
      </patternFill>
    </fill>
    <fill>
      <patternFill patternType="solid">
        <fgColor rgb="00FFFFCC"/>
      </patternFill>
    </fill>
    <fill>
      <patternFill patternType="solid">
        <fgColor rgb="00D9E1F2"/>
      </patternFill>
    </fill>
    <fill>
      <patternFill patternType="solid">
        <fgColor rgb="00C00000"/>
      </patternFill>
    </fill>
    <fill>
      <patternFill patternType="solid">
        <fgColor rgb="00C6EFCE"/>
      </patternFill>
    </fill>
    <fill>
      <patternFill patternType="solid">
        <fgColor rgb="00FCE4D6"/>
      </patternFill>
    </fill>
  </fills>
  <borders count="13">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right style="thin">
        <color rgb="00808080"/>
      </right>
      <top/>
      <bottom/>
      <diagonal/>
    </border>
    <border>
      <left style="thin">
        <color rgb="00808080"/>
      </left>
      <right/>
      <top/>
      <bottom style="thin">
        <color rgb="00808080"/>
      </bottom>
      <diagonal/>
    </border>
    <border>
      <left/>
      <right/>
      <top/>
      <bottom style="thin">
        <color rgb="00808080"/>
      </bottom>
      <diagonal/>
    </border>
    <border>
      <left/>
      <right style="thin">
        <color rgb="00808080"/>
      </right>
      <top/>
      <bottom style="thin">
        <color rgb="00808080"/>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4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7" fillId="2" borderId="1" applyAlignment="1" pivotButton="0" quotePrefix="0" xfId="0">
      <alignment vertical="center"/>
    </xf>
    <xf numFmtId="0" fontId="0" fillId="2" borderId="1" pivotButton="0" quotePrefix="0" xfId="0"/>
    <xf numFmtId="0" fontId="4" fillId="0" borderId="1" applyAlignment="1" pivotButton="0" quotePrefix="0" xfId="0">
      <alignment vertical="top"/>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vertical="top"/>
    </xf>
    <xf numFmtId="0" fontId="6" fillId="0" borderId="1" applyAlignment="1" pivotButton="0" quotePrefix="0" xfId="0">
      <alignment horizontal="center" vertical="top"/>
    </xf>
    <xf numFmtId="0" fontId="6" fillId="0" borderId="1" applyAlignment="1" pivotButton="0" quotePrefix="0" xfId="0">
      <alignment vertical="top" wrapText="1"/>
    </xf>
    <xf numFmtId="164" fontId="6" fillId="0" borderId="1" applyAlignment="1" pivotButton="0" quotePrefix="0" xfId="0">
      <alignment vertical="top"/>
    </xf>
    <xf numFmtId="0" fontId="8" fillId="3" borderId="1" applyAlignment="1" pivotButton="0" quotePrefix="0" xfId="0">
      <alignment vertical="top" wrapText="1"/>
    </xf>
    <xf numFmtId="0" fontId="0" fillId="0" borderId="1" pivotButton="0" quotePrefix="0" xfId="0"/>
    <xf numFmtId="164" fontId="6" fillId="0" borderId="1" applyAlignment="1" pivotButton="0" quotePrefix="0" xfId="0">
      <alignment vertical="top" wrapText="1"/>
    </xf>
    <xf numFmtId="0" fontId="8" fillId="4" borderId="1" applyAlignment="1" pivotButton="0" quotePrefix="0" xfId="0">
      <alignment horizontal="center" vertical="center" wrapText="1"/>
    </xf>
    <xf numFmtId="165" fontId="5" fillId="0" borderId="1" applyAlignment="1" pivotButton="0" quotePrefix="0" xfId="0">
      <alignment horizontal="center" vertical="top"/>
    </xf>
    <xf numFmtId="0" fontId="8" fillId="0" borderId="1" applyAlignment="1" pivotButton="0" quotePrefix="0" xfId="0">
      <alignment vertical="top" wrapText="1"/>
    </xf>
    <xf numFmtId="0" fontId="8" fillId="0" borderId="1" applyAlignment="1" pivotButton="0" quotePrefix="0" xfId="0">
      <alignment horizontal="center" vertical="top"/>
    </xf>
    <xf numFmtId="165" fontId="8" fillId="0" borderId="1" applyAlignment="1" pivotButton="0" quotePrefix="0" xfId="0">
      <alignment horizontal="center" vertical="top"/>
    </xf>
    <xf numFmtId="0" fontId="9" fillId="0" borderId="0" applyAlignment="1" pivotButton="0" quotePrefix="0" xfId="0">
      <alignment vertical="top" wrapText="1"/>
    </xf>
    <xf numFmtId="1" fontId="5" fillId="0" borderId="1" applyAlignment="1" pivotButton="0" quotePrefix="0" xfId="0">
      <alignment horizontal="center" vertical="top"/>
    </xf>
    <xf numFmtId="0" fontId="0" fillId="0" borderId="4" pivotButton="0" quotePrefix="0" xfId="0"/>
    <xf numFmtId="0" fontId="0" fillId="0" borderId="5" pivotButton="0" quotePrefix="0" xfId="0"/>
    <xf numFmtId="0" fontId="1" fillId="0" borderId="0" applyAlignment="1" pivotButton="0" quotePrefix="0" xfId="0">
      <alignment vertical="top" wrapText="1"/>
    </xf>
    <xf numFmtId="0" fontId="3" fillId="5" borderId="1" applyAlignment="1" pivotButton="0" quotePrefix="0" xfId="0">
      <alignment horizontal="center" vertical="center" wrapText="1"/>
    </xf>
    <xf numFmtId="0" fontId="7" fillId="5" borderId="1" applyAlignment="1" pivotButton="0" quotePrefix="0" xfId="0">
      <alignment vertical="top" wrapText="1"/>
    </xf>
    <xf numFmtId="0" fontId="0" fillId="5" borderId="1" pivotButton="0" quotePrefix="0" xfId="0"/>
    <xf numFmtId="0" fontId="4" fillId="0" borderId="1" applyAlignment="1" pivotButton="0" quotePrefix="0" xfId="0">
      <alignment vertical="top" wrapText="1"/>
    </xf>
    <xf numFmtId="0" fontId="7" fillId="2" borderId="1" applyAlignment="1" pivotButton="0" quotePrefix="0" xfId="0">
      <alignment vertical="top" wrapText="1"/>
    </xf>
    <xf numFmtId="0" fontId="4" fillId="6" borderId="1" applyAlignment="1" pivotButton="0" quotePrefix="0" xfId="0">
      <alignment vertical="top" wrapText="1"/>
    </xf>
    <xf numFmtId="0" fontId="0" fillId="6" borderId="1" pivotButton="0" quotePrefix="0" xfId="0"/>
    <xf numFmtId="0" fontId="0" fillId="3" borderId="1" pivotButton="0" quotePrefix="0" xfId="0"/>
    <xf numFmtId="0" fontId="10" fillId="0" borderId="1" applyAlignment="1" pivotButton="0" quotePrefix="0" xfId="0">
      <alignment vertical="center" wrapText="1"/>
    </xf>
    <xf numFmtId="0" fontId="5" fillId="7" borderId="1" applyAlignment="1" pivotButton="0" quotePrefix="0" xfId="0">
      <alignment vertical="top" wrapText="1"/>
    </xf>
    <xf numFmtId="0" fontId="0" fillId="7" borderId="1"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164" fontId="6" fillId="0" borderId="1" applyAlignment="1" pivotButton="0" quotePrefix="0" xfId="0">
      <alignment vertical="top"/>
    </xf>
    <xf numFmtId="164" fontId="6" fillId="0" borderId="1" applyAlignment="1" pivotButton="0" quotePrefix="0" xfId="0">
      <alignment vertical="top" wrapText="1"/>
    </xf>
    <xf numFmtId="165" fontId="5" fillId="0" borderId="1" applyAlignment="1" pivotButton="0" quotePrefix="0" xfId="0">
      <alignment horizontal="center" vertical="top"/>
    </xf>
    <xf numFmtId="165" fontId="8" fillId="0" borderId="1" applyAlignment="1" pivotButton="0" quotePrefix="0" xfId="0">
      <alignment horizontal="center" vertical="top"/>
    </xf>
    <xf numFmtId="0" fontId="0" fillId="0" borderId="2" pivotButton="0" quotePrefix="0" xfId="0"/>
    <xf numFmtId="0" fontId="0" fillId="0" borderId="3" pivotButton="0" quotePrefix="0" xfId="0"/>
    <xf numFmtId="0" fontId="0" fillId="0" borderId="12"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dxfs count="5">
    <dxf>
      <font>
        <color rgb="009C0006"/>
      </font>
      <fill>
        <patternFill patternType="solid">
          <bgColor rgb="00FFC7CE"/>
        </patternFill>
      </fill>
    </dxf>
    <dxf>
      <font>
        <color rgb="009C5700"/>
      </font>
      <fill>
        <patternFill patternType="solid">
          <bgColor rgb="00FFEB9C"/>
        </patternFill>
      </fill>
    </dxf>
    <dxf>
      <font>
        <color rgb="00006100"/>
      </font>
      <fill>
        <patternFill patternType="solid">
          <bgColor rgb="00C6EFCE"/>
        </patternFill>
      </fill>
    </dxf>
    <dxf>
      <font>
        <color rgb="00595959"/>
      </font>
      <fill>
        <patternFill patternType="solid">
          <bgColor rgb="00EDEDED"/>
        </patternFill>
      </fill>
    </dxf>
    <dxf>
      <font>
        <b val="1"/>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styles" Target="styles.xml" Id="rId136"/><Relationship Type="http://schemas.openxmlformats.org/officeDocument/2006/relationships/theme" Target="theme/theme1.xml" Id="rId13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Ciclo 2 (V2): % Aprobado / Fallido / Bloqueado</a:t>
            </a:r>
          </a:p>
        </rich>
      </tx>
    </title>
    <plotArea>
      <pieChart>
        <varyColors val="1"/>
        <ser>
          <idx val="0"/>
          <order val="0"/>
          <tx>
            <strRef>
              <f>'Reporte de ejecución - Entrega2'!Q15</f>
            </strRef>
          </tx>
          <spPr>
            <a:ln xmlns:a="http://schemas.openxmlformats.org/drawingml/2006/main">
              <a:prstDash val="solid"/>
            </a:ln>
          </spPr>
          <dPt>
            <idx val="0"/>
            <spPr>
              <a:solidFill xmlns:a="http://schemas.openxmlformats.org/drawingml/2006/main">
                <a:srgbClr val="70AD47"/>
              </a:solidFill>
              <a:ln xmlns:a="http://schemas.openxmlformats.org/drawingml/2006/main">
                <a:prstDash val="solid"/>
              </a:ln>
            </spPr>
          </dPt>
          <dPt>
            <idx val="1"/>
            <spPr>
              <a:solidFill xmlns:a="http://schemas.openxmlformats.org/drawingml/2006/main">
                <a:srgbClr val="C00000"/>
              </a:solidFill>
              <a:ln xmlns:a="http://schemas.openxmlformats.org/drawingml/2006/main">
                <a:prstDash val="solid"/>
              </a:ln>
            </spPr>
          </dPt>
          <dPt>
            <idx val="2"/>
            <spPr>
              <a:solidFill xmlns:a="http://schemas.openxmlformats.org/drawingml/2006/main">
                <a:srgbClr val="FFC000"/>
              </a:solidFill>
              <a:ln xmlns:a="http://schemas.openxmlformats.org/drawingml/2006/main">
                <a:prstDash val="solid"/>
              </a:ln>
            </spPr>
          </dPt>
          <cat>
            <numRef>
              <f>'Reporte de ejecución - Entrega2'!$P$16:$P$18</f>
            </numRef>
          </cat>
          <val>
            <numRef>
              <f>'Reporte de ejecución - Entrega2'!$Q$16:$Q$18</f>
            </numRef>
          </val>
        </ser>
        <dLbls>
          <showVal val="0"/>
          <showCatName val="0"/>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 de casos por estado: Entrega 1 vs Entrega 2</a:t>
            </a:r>
          </a:p>
        </rich>
      </tx>
    </title>
    <plotArea>
      <barChart>
        <barDir val="col"/>
        <grouping val="clustered"/>
        <ser>
          <idx val="0"/>
          <order val="0"/>
          <tx>
            <strRef>
              <f>'Reporte de ejecución - Entrega2'!Q38</f>
            </strRef>
          </tx>
          <spPr>
            <a:ln xmlns:a="http://schemas.openxmlformats.org/drawingml/2006/main">
              <a:prstDash val="solid"/>
            </a:ln>
          </spPr>
          <cat>
            <numRef>
              <f>'Reporte de ejecución - Entrega2'!$P$39:$P$41</f>
            </numRef>
          </cat>
          <val>
            <numRef>
              <f>'Reporte de ejecución - Entrega2'!$Q$39:$Q$41</f>
            </numRef>
          </val>
        </ser>
        <ser>
          <idx val="1"/>
          <order val="1"/>
          <tx>
            <strRef>
              <f>'Reporte de ejecución - Entrega2'!R38</f>
            </strRef>
          </tx>
          <spPr>
            <a:ln xmlns:a="http://schemas.openxmlformats.org/drawingml/2006/main">
              <a:prstDash val="solid"/>
            </a:ln>
          </spPr>
          <cat>
            <numRef>
              <f>'Reporte de ejecución - Entrega2'!$P$39:$P$41</f>
            </numRef>
          </cat>
          <val>
            <numRef>
              <f>'Reporte de ejecución - Entrega2'!$R$39:$R$41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max val="1"/>
          <min val="0"/>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15</col>
      <colOff>0</colOff>
      <row>20</row>
      <rowOff>0</rowOff>
    </from>
    <ext cx="432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43</row>
      <rowOff>0</rowOff>
    </from>
    <ext cx="504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P-001'!A1" TargetMode="External" Id="rId1"/><Relationship Type="http://schemas.openxmlformats.org/officeDocument/2006/relationships/hyperlink" Target="#'CP-002'!A1" TargetMode="External" Id="rId2"/><Relationship Type="http://schemas.openxmlformats.org/officeDocument/2006/relationships/hyperlink" Target="#'CP-003'!A1" TargetMode="External" Id="rId3"/><Relationship Type="http://schemas.openxmlformats.org/officeDocument/2006/relationships/hyperlink" Target="#'CP-004'!A1" TargetMode="External" Id="rId4"/><Relationship Type="http://schemas.openxmlformats.org/officeDocument/2006/relationships/hyperlink" Target="#'CP-005'!A1" TargetMode="External" Id="rId5"/><Relationship Type="http://schemas.openxmlformats.org/officeDocument/2006/relationships/hyperlink" Target="#'CP-006'!A1" TargetMode="External" Id="rId6"/><Relationship Type="http://schemas.openxmlformats.org/officeDocument/2006/relationships/hyperlink" Target="#'CP-007'!A1" TargetMode="External" Id="rId7"/><Relationship Type="http://schemas.openxmlformats.org/officeDocument/2006/relationships/hyperlink" Target="#'CP-008'!A1" TargetMode="External" Id="rId8"/><Relationship Type="http://schemas.openxmlformats.org/officeDocument/2006/relationships/hyperlink" Target="#'CP-009'!A1" TargetMode="External" Id="rId9"/><Relationship Type="http://schemas.openxmlformats.org/officeDocument/2006/relationships/hyperlink" Target="#'CP-010'!A1" TargetMode="External" Id="rId10"/><Relationship Type="http://schemas.openxmlformats.org/officeDocument/2006/relationships/hyperlink" Target="#'CP-011'!A1" TargetMode="External" Id="rId11"/><Relationship Type="http://schemas.openxmlformats.org/officeDocument/2006/relationships/hyperlink" Target="#'CP-012'!A1" TargetMode="External" Id="rId12"/><Relationship Type="http://schemas.openxmlformats.org/officeDocument/2006/relationships/hyperlink" Target="#'CP-013'!A1" TargetMode="External" Id="rId13"/><Relationship Type="http://schemas.openxmlformats.org/officeDocument/2006/relationships/hyperlink" Target="#'CP-014'!A1" TargetMode="External" Id="rId14"/><Relationship Type="http://schemas.openxmlformats.org/officeDocument/2006/relationships/hyperlink" Target="#'CP-015'!A1" TargetMode="External" Id="rId15"/><Relationship Type="http://schemas.openxmlformats.org/officeDocument/2006/relationships/hyperlink" Target="#'CP-016'!A1" TargetMode="External" Id="rId16"/><Relationship Type="http://schemas.openxmlformats.org/officeDocument/2006/relationships/hyperlink" Target="#'CP-017'!A1" TargetMode="External" Id="rId17"/><Relationship Type="http://schemas.openxmlformats.org/officeDocument/2006/relationships/hyperlink" Target="#'CP-018'!A1" TargetMode="External" Id="rId18"/><Relationship Type="http://schemas.openxmlformats.org/officeDocument/2006/relationships/hyperlink" Target="#'CP-019'!A1" TargetMode="External" Id="rId19"/><Relationship Type="http://schemas.openxmlformats.org/officeDocument/2006/relationships/hyperlink" Target="#'CP-020'!A1" TargetMode="External" Id="rId20"/><Relationship Type="http://schemas.openxmlformats.org/officeDocument/2006/relationships/hyperlink" Target="#'CP-021'!A1" TargetMode="External" Id="rId21"/><Relationship Type="http://schemas.openxmlformats.org/officeDocument/2006/relationships/hyperlink" Target="#'CP-022'!A1" TargetMode="External" Id="rId22"/><Relationship Type="http://schemas.openxmlformats.org/officeDocument/2006/relationships/hyperlink" Target="#'CP-023'!A1" TargetMode="External" Id="rId23"/><Relationship Type="http://schemas.openxmlformats.org/officeDocument/2006/relationships/hyperlink" Target="#'CP-024'!A1" TargetMode="External" Id="rId24"/><Relationship Type="http://schemas.openxmlformats.org/officeDocument/2006/relationships/hyperlink" Target="#'CP-025'!A1" TargetMode="External" Id="rId25"/><Relationship Type="http://schemas.openxmlformats.org/officeDocument/2006/relationships/hyperlink" Target="#'CP-026'!A1" TargetMode="External" Id="rId26"/><Relationship Type="http://schemas.openxmlformats.org/officeDocument/2006/relationships/hyperlink" Target="#'CP-027'!A1" TargetMode="External" Id="rId27"/><Relationship Type="http://schemas.openxmlformats.org/officeDocument/2006/relationships/hyperlink" Target="#'CP-028'!A1" TargetMode="External" Id="rId28"/><Relationship Type="http://schemas.openxmlformats.org/officeDocument/2006/relationships/hyperlink" Target="#'CP-029'!A1" TargetMode="External" Id="rId29"/><Relationship Type="http://schemas.openxmlformats.org/officeDocument/2006/relationships/hyperlink" Target="#'CP-030'!A1" TargetMode="External" Id="rId30"/><Relationship Type="http://schemas.openxmlformats.org/officeDocument/2006/relationships/hyperlink" Target="#'CP-031'!A1" TargetMode="External" Id="rId31"/><Relationship Type="http://schemas.openxmlformats.org/officeDocument/2006/relationships/hyperlink" Target="#'CP-032'!A1" TargetMode="External" Id="rId32"/><Relationship Type="http://schemas.openxmlformats.org/officeDocument/2006/relationships/hyperlink" Target="#'CP-033'!A1" TargetMode="External" Id="rId33"/><Relationship Type="http://schemas.openxmlformats.org/officeDocument/2006/relationships/hyperlink" Target="#'CP-034'!A1" TargetMode="External" Id="rId34"/><Relationship Type="http://schemas.openxmlformats.org/officeDocument/2006/relationships/hyperlink" Target="#'CP-035'!A1" TargetMode="External" Id="rId35"/><Relationship Type="http://schemas.openxmlformats.org/officeDocument/2006/relationships/hyperlink" Target="#'CP-036'!A1" TargetMode="External" Id="rId36"/><Relationship Type="http://schemas.openxmlformats.org/officeDocument/2006/relationships/hyperlink" Target="#'CP-037'!A1" TargetMode="External" Id="rId37"/><Relationship Type="http://schemas.openxmlformats.org/officeDocument/2006/relationships/hyperlink" Target="#'CP-038'!A1" TargetMode="External" Id="rId38"/><Relationship Type="http://schemas.openxmlformats.org/officeDocument/2006/relationships/hyperlink" Target="#'CP-039'!A1" TargetMode="External" Id="rId39"/><Relationship Type="http://schemas.openxmlformats.org/officeDocument/2006/relationships/hyperlink" Target="#'CP-040'!A1" TargetMode="External" Id="rId40"/><Relationship Type="http://schemas.openxmlformats.org/officeDocument/2006/relationships/hyperlink" Target="#'CP-041'!A1" TargetMode="External" Id="rId41"/><Relationship Type="http://schemas.openxmlformats.org/officeDocument/2006/relationships/hyperlink" Target="#'CP-042'!A1" TargetMode="External" Id="rId42"/><Relationship Type="http://schemas.openxmlformats.org/officeDocument/2006/relationships/hyperlink" Target="#'CP-043'!A1" TargetMode="External" Id="rId43"/><Relationship Type="http://schemas.openxmlformats.org/officeDocument/2006/relationships/hyperlink" Target="#'CP-044'!A1" TargetMode="External" Id="rId44"/><Relationship Type="http://schemas.openxmlformats.org/officeDocument/2006/relationships/hyperlink" Target="#'CP-045'!A1" TargetMode="External" Id="rId45"/><Relationship Type="http://schemas.openxmlformats.org/officeDocument/2006/relationships/hyperlink" Target="#'CP-046'!A1" TargetMode="External" Id="rId46"/><Relationship Type="http://schemas.openxmlformats.org/officeDocument/2006/relationships/hyperlink" Target="#'CP-047'!A1" TargetMode="External" Id="rId47"/><Relationship Type="http://schemas.openxmlformats.org/officeDocument/2006/relationships/hyperlink" Target="#'CP-048'!A1" TargetMode="External" Id="rId48"/><Relationship Type="http://schemas.openxmlformats.org/officeDocument/2006/relationships/hyperlink" Target="#'CP-049'!A1" TargetMode="External" Id="rId49"/><Relationship Type="http://schemas.openxmlformats.org/officeDocument/2006/relationships/hyperlink" Target="#'CP-050'!A1" TargetMode="External" Id="rId50"/><Relationship Type="http://schemas.openxmlformats.org/officeDocument/2006/relationships/hyperlink" Target="#'CP-051'!A1" TargetMode="External" Id="rId51"/><Relationship Type="http://schemas.openxmlformats.org/officeDocument/2006/relationships/hyperlink" Target="#'CP-052'!A1" TargetMode="External" Id="rId52"/><Relationship Type="http://schemas.openxmlformats.org/officeDocument/2006/relationships/hyperlink" Target="#'CP-053'!A1" TargetMode="External" Id="rId53"/><Relationship Type="http://schemas.openxmlformats.org/officeDocument/2006/relationships/hyperlink" Target="#'CP-054'!A1" TargetMode="External" Id="rId54"/><Relationship Type="http://schemas.openxmlformats.org/officeDocument/2006/relationships/hyperlink" Target="#'CP-055'!A1" TargetMode="External" Id="rId55"/><Relationship Type="http://schemas.openxmlformats.org/officeDocument/2006/relationships/hyperlink" Target="#'CP-056'!A1" TargetMode="External" Id="rId56"/><Relationship Type="http://schemas.openxmlformats.org/officeDocument/2006/relationships/hyperlink" Target="#'CP-057'!A1" TargetMode="External" Id="rId57"/><Relationship Type="http://schemas.openxmlformats.org/officeDocument/2006/relationships/hyperlink" Target="#'CP-058'!A1" TargetMode="External" Id="rId58"/><Relationship Type="http://schemas.openxmlformats.org/officeDocument/2006/relationships/hyperlink" Target="#'CP-059'!A1" TargetMode="External" Id="rId59"/><Relationship Type="http://schemas.openxmlformats.org/officeDocument/2006/relationships/hyperlink" Target="#'CP-060'!A1" TargetMode="External" Id="rId60"/><Relationship Type="http://schemas.openxmlformats.org/officeDocument/2006/relationships/hyperlink" Target="#'CP-061'!A1" TargetMode="External" Id="rId61"/><Relationship Type="http://schemas.openxmlformats.org/officeDocument/2006/relationships/hyperlink" Target="#'CP-062'!A1" TargetMode="External" Id="rId62"/><Relationship Type="http://schemas.openxmlformats.org/officeDocument/2006/relationships/hyperlink" Target="#'CP-063'!A1" TargetMode="External" Id="rId63"/><Relationship Type="http://schemas.openxmlformats.org/officeDocument/2006/relationships/hyperlink" Target="#'CP-064'!A1" TargetMode="External" Id="rId64"/><Relationship Type="http://schemas.openxmlformats.org/officeDocument/2006/relationships/hyperlink" Target="#'CP-065'!A1" TargetMode="External" Id="rId65"/><Relationship Type="http://schemas.openxmlformats.org/officeDocument/2006/relationships/hyperlink" Target="#'CP-066'!A1" TargetMode="External" Id="rId66"/><Relationship Type="http://schemas.openxmlformats.org/officeDocument/2006/relationships/hyperlink" Target="#'CP-067'!A1" TargetMode="External" Id="rId67"/><Relationship Type="http://schemas.openxmlformats.org/officeDocument/2006/relationships/hyperlink" Target="#'CP-068'!A1" TargetMode="External" Id="rId68"/><Relationship Type="http://schemas.openxmlformats.org/officeDocument/2006/relationships/hyperlink" Target="#'CP-069'!A1" TargetMode="External" Id="rId69"/><Relationship Type="http://schemas.openxmlformats.org/officeDocument/2006/relationships/hyperlink" Target="#'CP-070'!A1" TargetMode="External" Id="rId70"/><Relationship Type="http://schemas.openxmlformats.org/officeDocument/2006/relationships/hyperlink" Target="#'CP-071'!A1" TargetMode="External" Id="rId71"/><Relationship Type="http://schemas.openxmlformats.org/officeDocument/2006/relationships/hyperlink" Target="#'CP-072'!A1" TargetMode="External" Id="rId72"/><Relationship Type="http://schemas.openxmlformats.org/officeDocument/2006/relationships/hyperlink" Target="#'CP-073'!A1" TargetMode="External" Id="rId73"/><Relationship Type="http://schemas.openxmlformats.org/officeDocument/2006/relationships/hyperlink" Target="#'CP-074'!A1" TargetMode="External" Id="rId74"/><Relationship Type="http://schemas.openxmlformats.org/officeDocument/2006/relationships/hyperlink" Target="#'CP-075'!A1" TargetMode="External" Id="rId75"/><Relationship Type="http://schemas.openxmlformats.org/officeDocument/2006/relationships/hyperlink" Target="#'CP-076'!A1" TargetMode="External" Id="rId76"/><Relationship Type="http://schemas.openxmlformats.org/officeDocument/2006/relationships/hyperlink" Target="#'CP-077'!A1" TargetMode="External" Id="rId77"/><Relationship Type="http://schemas.openxmlformats.org/officeDocument/2006/relationships/hyperlink" Target="#'CP-078'!A1" TargetMode="External" Id="rId78"/><Relationship Type="http://schemas.openxmlformats.org/officeDocument/2006/relationships/hyperlink" Target="#'CP-079'!A1" TargetMode="External" Id="rId79"/><Relationship Type="http://schemas.openxmlformats.org/officeDocument/2006/relationships/hyperlink" Target="#'CP-080'!A1" TargetMode="External" Id="rId80"/><Relationship Type="http://schemas.openxmlformats.org/officeDocument/2006/relationships/hyperlink" Target="#'CP-081'!A1" TargetMode="External" Id="rId81"/><Relationship Type="http://schemas.openxmlformats.org/officeDocument/2006/relationships/hyperlink" Target="#'CP-082'!A1" TargetMode="External" Id="rId82"/><Relationship Type="http://schemas.openxmlformats.org/officeDocument/2006/relationships/hyperlink" Target="#'CP-083'!A1" TargetMode="External" Id="rId83"/><Relationship Type="http://schemas.openxmlformats.org/officeDocument/2006/relationships/hyperlink" Target="#'CP-084'!A1" TargetMode="External" Id="rId84"/><Relationship Type="http://schemas.openxmlformats.org/officeDocument/2006/relationships/hyperlink" Target="#'CP-085'!A1" TargetMode="External" Id="rId85"/><Relationship Type="http://schemas.openxmlformats.org/officeDocument/2006/relationships/hyperlink" Target="#'CP-086'!A1" TargetMode="External" Id="rId86"/><Relationship Type="http://schemas.openxmlformats.org/officeDocument/2006/relationships/hyperlink" Target="#'CP-087'!A1" TargetMode="External" Id="rId87"/><Relationship Type="http://schemas.openxmlformats.org/officeDocument/2006/relationships/hyperlink" Target="#'CP-088'!A1" TargetMode="External" Id="rId88"/><Relationship Type="http://schemas.openxmlformats.org/officeDocument/2006/relationships/hyperlink" Target="#'CP-089'!A1" TargetMode="External" Id="rId89"/><Relationship Type="http://schemas.openxmlformats.org/officeDocument/2006/relationships/hyperlink" Target="#'CP-090'!A1" TargetMode="External" Id="rId90"/><Relationship Type="http://schemas.openxmlformats.org/officeDocument/2006/relationships/hyperlink" Target="#'CP-091'!A1" TargetMode="External" Id="rId91"/><Relationship Type="http://schemas.openxmlformats.org/officeDocument/2006/relationships/hyperlink" Target="#'CP-092'!A1" TargetMode="External" Id="rId92"/><Relationship Type="http://schemas.openxmlformats.org/officeDocument/2006/relationships/hyperlink" Target="#'CP-093'!A1" TargetMode="External" Id="rId93"/><Relationship Type="http://schemas.openxmlformats.org/officeDocument/2006/relationships/hyperlink" Target="#'CP-094'!A1" TargetMode="External" Id="rId94"/><Relationship Type="http://schemas.openxmlformats.org/officeDocument/2006/relationships/hyperlink" Target="#'CP-095'!A1" TargetMode="External" Id="rId95"/><Relationship Type="http://schemas.openxmlformats.org/officeDocument/2006/relationships/hyperlink" Target="#'CP-096'!A1" TargetMode="External" Id="rId96"/><Relationship Type="http://schemas.openxmlformats.org/officeDocument/2006/relationships/hyperlink" Target="#'CP-097'!A1" TargetMode="External" Id="rId97"/><Relationship Type="http://schemas.openxmlformats.org/officeDocument/2006/relationships/hyperlink" Target="#'CP-098'!A1" TargetMode="External" Id="rId98"/><Relationship Type="http://schemas.openxmlformats.org/officeDocument/2006/relationships/hyperlink" Target="#'CP-099'!A1" TargetMode="External" Id="rId99"/><Relationship Type="http://schemas.openxmlformats.org/officeDocument/2006/relationships/hyperlink" Target="#'CP-100'!A1" TargetMode="External" Id="rId100"/><Relationship Type="http://schemas.openxmlformats.org/officeDocument/2006/relationships/hyperlink" Target="#'CP-101'!A1" TargetMode="External" Id="rId101"/><Relationship Type="http://schemas.openxmlformats.org/officeDocument/2006/relationships/hyperlink" Target="#'CP-102'!A1" TargetMode="External" Id="rId102"/><Relationship Type="http://schemas.openxmlformats.org/officeDocument/2006/relationships/hyperlink" Target="#'CP-103'!A1" TargetMode="External" Id="rId103"/><Relationship Type="http://schemas.openxmlformats.org/officeDocument/2006/relationships/hyperlink" Target="#'CP-104'!A1" TargetMode="External" Id="rId104"/><Relationship Type="http://schemas.openxmlformats.org/officeDocument/2006/relationships/hyperlink" Target="#'CP-105'!A1" TargetMode="External" Id="rId105"/><Relationship Type="http://schemas.openxmlformats.org/officeDocument/2006/relationships/hyperlink" Target="#'CP-141'!A1" TargetMode="External" Id="rId106"/><Relationship Type="http://schemas.openxmlformats.org/officeDocument/2006/relationships/hyperlink" Target="#'CP-142'!A1" TargetMode="External" Id="rId107"/><Relationship Type="http://schemas.openxmlformats.org/officeDocument/2006/relationships/hyperlink" Target="#'CP-143'!A1" TargetMode="External" Id="rId108"/><Relationship Type="http://schemas.openxmlformats.org/officeDocument/2006/relationships/hyperlink" Target="#'CP-144'!A1" TargetMode="External" Id="rId109"/><Relationship Type="http://schemas.openxmlformats.org/officeDocument/2006/relationships/hyperlink" Target="#'CP-145'!A1" TargetMode="External" Id="rId110"/><Relationship Type="http://schemas.openxmlformats.org/officeDocument/2006/relationships/hyperlink" Target="#'CP-146'!A1" TargetMode="External" Id="rId111"/><Relationship Type="http://schemas.openxmlformats.org/officeDocument/2006/relationships/hyperlink" Target="#'CP-147'!A1" TargetMode="External" Id="rId112"/><Relationship Type="http://schemas.openxmlformats.org/officeDocument/2006/relationships/hyperlink" Target="#'CP-148'!A1" TargetMode="External" Id="rId113"/><Relationship Type="http://schemas.openxmlformats.org/officeDocument/2006/relationships/hyperlink" Target="#'CP-149'!A1" TargetMode="External" Id="rId114"/><Relationship Type="http://schemas.openxmlformats.org/officeDocument/2006/relationships/hyperlink" Target="#'CP-150'!A1" TargetMode="External" Id="rId115"/><Relationship Type="http://schemas.openxmlformats.org/officeDocument/2006/relationships/hyperlink" Target="#'CP-151'!A1" TargetMode="External" Id="rId116"/><Relationship Type="http://schemas.openxmlformats.org/officeDocument/2006/relationships/hyperlink" Target="#'CP-152'!A1" TargetMode="External" Id="rId117"/><Relationship Type="http://schemas.openxmlformats.org/officeDocument/2006/relationships/hyperlink" Target="#'CP-153'!A1" TargetMode="External" Id="rId118"/><Relationship Type="http://schemas.openxmlformats.org/officeDocument/2006/relationships/hyperlink" Target="#'CP-154'!A1" TargetMode="External" Id="rId119"/><Relationship Type="http://schemas.openxmlformats.org/officeDocument/2006/relationships/hyperlink" Target="#'CP-155'!A1" TargetMode="External" Id="rId120"/><Relationship Type="http://schemas.openxmlformats.org/officeDocument/2006/relationships/hyperlink" Target="#'CP-156'!A1" TargetMode="External" Id="rId121"/><Relationship Type="http://schemas.openxmlformats.org/officeDocument/2006/relationships/hyperlink" Target="#'CP-157'!A1" TargetMode="External" Id="rId122"/><Relationship Type="http://schemas.openxmlformats.org/officeDocument/2006/relationships/hyperlink" Target="#'CP-158'!A1" TargetMode="External" Id="rId123"/><Relationship Type="http://schemas.openxmlformats.org/officeDocument/2006/relationships/hyperlink" Target="#'CP-159'!A1" TargetMode="External" Id="rId124"/><Relationship Type="http://schemas.openxmlformats.org/officeDocument/2006/relationships/hyperlink" Target="#'CP-160'!A1" TargetMode="External" Id="rId125"/><Relationship Type="http://schemas.openxmlformats.org/officeDocument/2006/relationships/hyperlink" Target="#'CP-161'!A1" TargetMode="External" Id="rId126"/><Relationship Type="http://schemas.openxmlformats.org/officeDocument/2006/relationships/hyperlink" Target="#'CP-162'!A1" TargetMode="External" Id="rId127"/><Relationship Type="http://schemas.openxmlformats.org/officeDocument/2006/relationships/hyperlink" Target="#'CP-163'!A1" TargetMode="External" Id="rId128"/><Relationship Type="http://schemas.openxmlformats.org/officeDocument/2006/relationships/hyperlink" Target="#'DEF-002'!A1" TargetMode="External" Id="rId129"/><Relationship Type="http://schemas.openxmlformats.org/officeDocument/2006/relationships/drawing" Target="/xl/drawings/drawing1.xml" Id="rId130"/></Relationships>
</file>

<file path=xl/worksheets/_rels/sheet2.xml.rels><Relationships xmlns="http://schemas.openxmlformats.org/package/2006/relationships"><Relationship Type="http://schemas.openxmlformats.org/officeDocument/2006/relationships/hyperlink" Target="#'DEF-001'!A1" TargetMode="External" Id="rId1"/><Relationship Type="http://schemas.openxmlformats.org/officeDocument/2006/relationships/hyperlink" Target="#'DEF-002'!A1" TargetMode="External" Id="rId2"/><Relationship Type="http://schemas.openxmlformats.org/officeDocument/2006/relationships/hyperlink" Target="#'DEF-003'!A1" TargetMode="External" Id="rId3"/></Relationships>
</file>

<file path=xl/worksheets/_rels/sheet3.xml.rels><Relationships xmlns="http://schemas.openxmlformats.org/package/2006/relationships"><Relationship Type="http://schemas.openxmlformats.org/officeDocument/2006/relationships/hyperlink" Target="#'Reporte de ejecuci&#243;n - Entrega2'!A4" TargetMode="External" Id="rId1"/></Relationships>
</file>

<file path=xl/worksheets/_rels/sheet4.xml.rels><Relationships xmlns="http://schemas.openxmlformats.org/package/2006/relationships"><Relationship Type="http://schemas.openxmlformats.org/officeDocument/2006/relationships/hyperlink" Target="#'Reporte de ejecuci&#243;n - Entrega2'!A5" TargetMode="External" Id="rId1"/></Relationships>
</file>

<file path=xl/worksheets/_rels/sheet5.xml.rels><Relationships xmlns="http://schemas.openxmlformats.org/package/2006/relationships"><Relationship Type="http://schemas.openxmlformats.org/officeDocument/2006/relationships/hyperlink" Target="#'Reporte de ejecuci&#243;n - Entrega2'!A6" TargetMode="External" Id="rId1"/></Relationships>
</file>

<file path=xl/worksheets/_rels/sheet6.xml.rels><Relationships xmlns="http://schemas.openxmlformats.org/package/2006/relationships"><Relationship Type="http://schemas.openxmlformats.org/officeDocument/2006/relationships/hyperlink" Target="#'Reporte de ejecuci&#243;n - Entrega2'!A7" TargetMode="External" Id="rId1"/></Relationships>
</file>

<file path=xl/worksheets/_rels/sheet7.xml.rels><Relationships xmlns="http://schemas.openxmlformats.org/package/2006/relationships"><Relationship Type="http://schemas.openxmlformats.org/officeDocument/2006/relationships/hyperlink" Target="#'Reporte de ejecuci&#243;n - Entrega2'!A8" TargetMode="External" Id="rId1"/></Relationships>
</file>

<file path=xl/worksheets/_rels/sheet8.xml.rels><Relationships xmlns="http://schemas.openxmlformats.org/package/2006/relationships"><Relationship Type="http://schemas.openxmlformats.org/officeDocument/2006/relationships/hyperlink" Target="#'Reporte de ejecuci&#243;n - Entrega2'!A9" TargetMode="External" Id="rId1"/></Relationships>
</file>

<file path=xl/worksheets/_rels/sheet9.xml.rels><Relationships xmlns="http://schemas.openxmlformats.org/package/2006/relationships"><Relationship Type="http://schemas.openxmlformats.org/officeDocument/2006/relationships/hyperlink" Target="#'Reporte de ejecuci&#243;n - Entrega2'!A10" TargetMode="External" Id="rId1"/></Relationships>
</file>

<file path=xl/worksheets/_rels/sheet10.xml.rels><Relationships xmlns="http://schemas.openxmlformats.org/package/2006/relationships"><Relationship Type="http://schemas.openxmlformats.org/officeDocument/2006/relationships/hyperlink" Target="#'Reporte de ejecuci&#243;n - Entrega2'!A11" TargetMode="External" Id="rId1"/></Relationships>
</file>

<file path=xl/worksheets/_rels/sheet11.xml.rels><Relationships xmlns="http://schemas.openxmlformats.org/package/2006/relationships"><Relationship Type="http://schemas.openxmlformats.org/officeDocument/2006/relationships/hyperlink" Target="#'Reporte de ejecuci&#243;n - Entrega2'!A12" TargetMode="External" Id="rId1"/></Relationships>
</file>

<file path=xl/worksheets/_rels/sheet12.xml.rels><Relationships xmlns="http://schemas.openxmlformats.org/package/2006/relationships"><Relationship Type="http://schemas.openxmlformats.org/officeDocument/2006/relationships/hyperlink" Target="#'Reporte de ejecuci&#243;n - Entrega2'!A13" TargetMode="External" Id="rId1"/></Relationships>
</file>

<file path=xl/worksheets/_rels/sheet13.xml.rels><Relationships xmlns="http://schemas.openxmlformats.org/package/2006/relationships"><Relationship Type="http://schemas.openxmlformats.org/officeDocument/2006/relationships/hyperlink" Target="#'Reporte de ejecuci&#243;n - Entrega2'!A14" TargetMode="External" Id="rId1"/></Relationships>
</file>

<file path=xl/worksheets/_rels/sheet14.xml.rels><Relationships xmlns="http://schemas.openxmlformats.org/package/2006/relationships"><Relationship Type="http://schemas.openxmlformats.org/officeDocument/2006/relationships/hyperlink" Target="#'Reporte de ejecuci&#243;n - Entrega2'!A15" TargetMode="External" Id="rId1"/></Relationships>
</file>

<file path=xl/worksheets/_rels/sheet15.xml.rels><Relationships xmlns="http://schemas.openxmlformats.org/package/2006/relationships"><Relationship Type="http://schemas.openxmlformats.org/officeDocument/2006/relationships/hyperlink" Target="#'Reporte de ejecuci&#243;n - Entrega2'!A16" TargetMode="External" Id="rId1"/></Relationships>
</file>

<file path=xl/worksheets/_rels/sheet16.xml.rels><Relationships xmlns="http://schemas.openxmlformats.org/package/2006/relationships"><Relationship Type="http://schemas.openxmlformats.org/officeDocument/2006/relationships/hyperlink" Target="#'Reporte de ejecuci&#243;n - Entrega2'!A17" TargetMode="External" Id="rId1"/></Relationships>
</file>

<file path=xl/worksheets/_rels/sheet17.xml.rels><Relationships xmlns="http://schemas.openxmlformats.org/package/2006/relationships"><Relationship Type="http://schemas.openxmlformats.org/officeDocument/2006/relationships/hyperlink" Target="#'Reporte de ejecuci&#243;n - Entrega2'!A18" TargetMode="External" Id="rId1"/></Relationships>
</file>

<file path=xl/worksheets/_rels/sheet18.xml.rels><Relationships xmlns="http://schemas.openxmlformats.org/package/2006/relationships"><Relationship Type="http://schemas.openxmlformats.org/officeDocument/2006/relationships/hyperlink" Target="#'Reporte de ejecuci&#243;n - Entrega2'!A19" TargetMode="External" Id="rId1"/></Relationships>
</file>

<file path=xl/worksheets/_rels/sheet19.xml.rels><Relationships xmlns="http://schemas.openxmlformats.org/package/2006/relationships"><Relationship Type="http://schemas.openxmlformats.org/officeDocument/2006/relationships/hyperlink" Target="#'Reporte de ejecuci&#243;n - Entrega2'!A20" TargetMode="External" Id="rId1"/></Relationships>
</file>

<file path=xl/worksheets/_rels/sheet20.xml.rels><Relationships xmlns="http://schemas.openxmlformats.org/package/2006/relationships"><Relationship Type="http://schemas.openxmlformats.org/officeDocument/2006/relationships/hyperlink" Target="#'Reporte de ejecuci&#243;n - Entrega2'!A21" TargetMode="External" Id="rId1"/></Relationships>
</file>

<file path=xl/worksheets/_rels/sheet21.xml.rels><Relationships xmlns="http://schemas.openxmlformats.org/package/2006/relationships"><Relationship Type="http://schemas.openxmlformats.org/officeDocument/2006/relationships/hyperlink" Target="#'Reporte de ejecuci&#243;n - Entrega2'!A22" TargetMode="External" Id="rId1"/></Relationships>
</file>

<file path=xl/worksheets/_rels/sheet22.xml.rels><Relationships xmlns="http://schemas.openxmlformats.org/package/2006/relationships"><Relationship Type="http://schemas.openxmlformats.org/officeDocument/2006/relationships/hyperlink" Target="#'Reporte de ejecuci&#243;n - Entrega2'!A23" TargetMode="External" Id="rId1"/></Relationships>
</file>

<file path=xl/worksheets/_rels/sheet23.xml.rels><Relationships xmlns="http://schemas.openxmlformats.org/package/2006/relationships"><Relationship Type="http://schemas.openxmlformats.org/officeDocument/2006/relationships/hyperlink" Target="#'Reporte de ejecuci&#243;n - Entrega2'!A24" TargetMode="External" Id="rId1"/></Relationships>
</file>

<file path=xl/worksheets/_rels/sheet24.xml.rels><Relationships xmlns="http://schemas.openxmlformats.org/package/2006/relationships"><Relationship Type="http://schemas.openxmlformats.org/officeDocument/2006/relationships/hyperlink" Target="#'Reporte de ejecuci&#243;n - Entrega2'!A25" TargetMode="External" Id="rId1"/></Relationships>
</file>

<file path=xl/worksheets/_rels/sheet25.xml.rels><Relationships xmlns="http://schemas.openxmlformats.org/package/2006/relationships"><Relationship Type="http://schemas.openxmlformats.org/officeDocument/2006/relationships/hyperlink" Target="#'Reporte de ejecuci&#243;n - Entrega2'!A26" TargetMode="External" Id="rId1"/></Relationships>
</file>

<file path=xl/worksheets/_rels/sheet26.xml.rels><Relationships xmlns="http://schemas.openxmlformats.org/package/2006/relationships"><Relationship Type="http://schemas.openxmlformats.org/officeDocument/2006/relationships/hyperlink" Target="#'Reporte de ejecuci&#243;n - Entrega2'!A27" TargetMode="External" Id="rId1"/></Relationships>
</file>

<file path=xl/worksheets/_rels/sheet27.xml.rels><Relationships xmlns="http://schemas.openxmlformats.org/package/2006/relationships"><Relationship Type="http://schemas.openxmlformats.org/officeDocument/2006/relationships/hyperlink" Target="#'Reporte de ejecuci&#243;n - Entrega2'!A28" TargetMode="External" Id="rId1"/></Relationships>
</file>

<file path=xl/worksheets/_rels/sheet28.xml.rels><Relationships xmlns="http://schemas.openxmlformats.org/package/2006/relationships"><Relationship Type="http://schemas.openxmlformats.org/officeDocument/2006/relationships/hyperlink" Target="#'Reporte de ejecuci&#243;n - Entrega2'!A29" TargetMode="External" Id="rId1"/></Relationships>
</file>

<file path=xl/worksheets/_rels/sheet29.xml.rels><Relationships xmlns="http://schemas.openxmlformats.org/package/2006/relationships"><Relationship Type="http://schemas.openxmlformats.org/officeDocument/2006/relationships/hyperlink" Target="#'Reporte de ejecuci&#243;n - Entrega2'!A30" TargetMode="External" Id="rId1"/></Relationships>
</file>

<file path=xl/worksheets/_rels/sheet30.xml.rels><Relationships xmlns="http://schemas.openxmlformats.org/package/2006/relationships"><Relationship Type="http://schemas.openxmlformats.org/officeDocument/2006/relationships/hyperlink" Target="#'Reporte de ejecuci&#243;n - Entrega2'!A31" TargetMode="External" Id="rId1"/></Relationships>
</file>

<file path=xl/worksheets/_rels/sheet31.xml.rels><Relationships xmlns="http://schemas.openxmlformats.org/package/2006/relationships"><Relationship Type="http://schemas.openxmlformats.org/officeDocument/2006/relationships/hyperlink" Target="#'Reporte de ejecuci&#243;n - Entrega2'!A32" TargetMode="External" Id="rId1"/></Relationships>
</file>

<file path=xl/worksheets/_rels/sheet32.xml.rels><Relationships xmlns="http://schemas.openxmlformats.org/package/2006/relationships"><Relationship Type="http://schemas.openxmlformats.org/officeDocument/2006/relationships/hyperlink" Target="#'Reporte de ejecuci&#243;n - Entrega2'!A33" TargetMode="External" Id="rId1"/></Relationships>
</file>

<file path=xl/worksheets/_rels/sheet33.xml.rels><Relationships xmlns="http://schemas.openxmlformats.org/package/2006/relationships"><Relationship Type="http://schemas.openxmlformats.org/officeDocument/2006/relationships/hyperlink" Target="#'Reporte de ejecuci&#243;n - Entrega2'!A34" TargetMode="External" Id="rId1"/></Relationships>
</file>

<file path=xl/worksheets/_rels/sheet34.xml.rels><Relationships xmlns="http://schemas.openxmlformats.org/package/2006/relationships"><Relationship Type="http://schemas.openxmlformats.org/officeDocument/2006/relationships/hyperlink" Target="#'Reporte de ejecuci&#243;n - Entrega2'!A35" TargetMode="External" Id="rId1"/></Relationships>
</file>

<file path=xl/worksheets/_rels/sheet35.xml.rels><Relationships xmlns="http://schemas.openxmlformats.org/package/2006/relationships"><Relationship Type="http://schemas.openxmlformats.org/officeDocument/2006/relationships/hyperlink" Target="#'Reporte de ejecuci&#243;n - Entrega2'!A36" TargetMode="External" Id="rId1"/></Relationships>
</file>

<file path=xl/worksheets/_rels/sheet36.xml.rels><Relationships xmlns="http://schemas.openxmlformats.org/package/2006/relationships"><Relationship Type="http://schemas.openxmlformats.org/officeDocument/2006/relationships/hyperlink" Target="#'Reporte de ejecuci&#243;n - Entrega2'!A37" TargetMode="External" Id="rId1"/></Relationships>
</file>

<file path=xl/worksheets/_rels/sheet37.xml.rels><Relationships xmlns="http://schemas.openxmlformats.org/package/2006/relationships"><Relationship Type="http://schemas.openxmlformats.org/officeDocument/2006/relationships/hyperlink" Target="#'Reporte de ejecuci&#243;n - Entrega2'!A38" TargetMode="External" Id="rId1"/></Relationships>
</file>

<file path=xl/worksheets/_rels/sheet38.xml.rels><Relationships xmlns="http://schemas.openxmlformats.org/package/2006/relationships"><Relationship Type="http://schemas.openxmlformats.org/officeDocument/2006/relationships/hyperlink" Target="#'Reporte de ejecuci&#243;n - Entrega2'!A39" TargetMode="External" Id="rId1"/></Relationships>
</file>

<file path=xl/worksheets/_rels/sheet39.xml.rels><Relationships xmlns="http://schemas.openxmlformats.org/package/2006/relationships"><Relationship Type="http://schemas.openxmlformats.org/officeDocument/2006/relationships/hyperlink" Target="#'Reporte de ejecuci&#243;n - Entrega2'!A40" TargetMode="External" Id="rId1"/></Relationships>
</file>

<file path=xl/worksheets/_rels/sheet40.xml.rels><Relationships xmlns="http://schemas.openxmlformats.org/package/2006/relationships"><Relationship Type="http://schemas.openxmlformats.org/officeDocument/2006/relationships/hyperlink" Target="#'Reporte de ejecuci&#243;n - Entrega2'!A41" TargetMode="External" Id="rId1"/></Relationships>
</file>

<file path=xl/worksheets/_rels/sheet41.xml.rels><Relationships xmlns="http://schemas.openxmlformats.org/package/2006/relationships"><Relationship Type="http://schemas.openxmlformats.org/officeDocument/2006/relationships/hyperlink" Target="#'Reporte de ejecuci&#243;n - Entrega2'!A42" TargetMode="External" Id="rId1"/></Relationships>
</file>

<file path=xl/worksheets/_rels/sheet42.xml.rels><Relationships xmlns="http://schemas.openxmlformats.org/package/2006/relationships"><Relationship Type="http://schemas.openxmlformats.org/officeDocument/2006/relationships/hyperlink" Target="#'Reporte de ejecuci&#243;n - Entrega2'!A43" TargetMode="External" Id="rId1"/></Relationships>
</file>

<file path=xl/worksheets/_rels/sheet43.xml.rels><Relationships xmlns="http://schemas.openxmlformats.org/package/2006/relationships"><Relationship Type="http://schemas.openxmlformats.org/officeDocument/2006/relationships/hyperlink" Target="#'Reporte de ejecuci&#243;n - Entrega2'!A44" TargetMode="External" Id="rId1"/></Relationships>
</file>

<file path=xl/worksheets/_rels/sheet44.xml.rels><Relationships xmlns="http://schemas.openxmlformats.org/package/2006/relationships"><Relationship Type="http://schemas.openxmlformats.org/officeDocument/2006/relationships/hyperlink" Target="#'Reporte de ejecuci&#243;n - Entrega2'!A45" TargetMode="External" Id="rId1"/></Relationships>
</file>

<file path=xl/worksheets/_rels/sheet45.xml.rels><Relationships xmlns="http://schemas.openxmlformats.org/package/2006/relationships"><Relationship Type="http://schemas.openxmlformats.org/officeDocument/2006/relationships/hyperlink" Target="#'Reporte de ejecuci&#243;n - Entrega2'!A46" TargetMode="External" Id="rId1"/></Relationships>
</file>

<file path=xl/worksheets/_rels/sheet46.xml.rels><Relationships xmlns="http://schemas.openxmlformats.org/package/2006/relationships"><Relationship Type="http://schemas.openxmlformats.org/officeDocument/2006/relationships/hyperlink" Target="#'Reporte de ejecuci&#243;n - Entrega2'!A47" TargetMode="External" Id="rId1"/></Relationships>
</file>

<file path=xl/worksheets/_rels/sheet47.xml.rels><Relationships xmlns="http://schemas.openxmlformats.org/package/2006/relationships"><Relationship Type="http://schemas.openxmlformats.org/officeDocument/2006/relationships/hyperlink" Target="#'Reporte de ejecuci&#243;n - Entrega2'!A48" TargetMode="External" Id="rId1"/></Relationships>
</file>

<file path=xl/worksheets/_rels/sheet48.xml.rels><Relationships xmlns="http://schemas.openxmlformats.org/package/2006/relationships"><Relationship Type="http://schemas.openxmlformats.org/officeDocument/2006/relationships/hyperlink" Target="#'Reporte de ejecuci&#243;n - Entrega2'!A49" TargetMode="External" Id="rId1"/></Relationships>
</file>

<file path=xl/worksheets/_rels/sheet49.xml.rels><Relationships xmlns="http://schemas.openxmlformats.org/package/2006/relationships"><Relationship Type="http://schemas.openxmlformats.org/officeDocument/2006/relationships/hyperlink" Target="#'Reporte de ejecuci&#243;n - Entrega2'!A50" TargetMode="External" Id="rId1"/></Relationships>
</file>

<file path=xl/worksheets/_rels/sheet50.xml.rels><Relationships xmlns="http://schemas.openxmlformats.org/package/2006/relationships"><Relationship Type="http://schemas.openxmlformats.org/officeDocument/2006/relationships/hyperlink" Target="#'Reporte de ejecuci&#243;n - Entrega2'!A51" TargetMode="External" Id="rId1"/></Relationships>
</file>

<file path=xl/worksheets/_rels/sheet51.xml.rels><Relationships xmlns="http://schemas.openxmlformats.org/package/2006/relationships"><Relationship Type="http://schemas.openxmlformats.org/officeDocument/2006/relationships/hyperlink" Target="#'Reporte de ejecuci&#243;n - Entrega2'!A52" TargetMode="External" Id="rId1"/></Relationships>
</file>

<file path=xl/worksheets/_rels/sheet52.xml.rels><Relationships xmlns="http://schemas.openxmlformats.org/package/2006/relationships"><Relationship Type="http://schemas.openxmlformats.org/officeDocument/2006/relationships/hyperlink" Target="#'Reporte de ejecuci&#243;n - Entrega2'!A53" TargetMode="External" Id="rId1"/></Relationships>
</file>

<file path=xl/worksheets/_rels/sheet53.xml.rels><Relationships xmlns="http://schemas.openxmlformats.org/package/2006/relationships"><Relationship Type="http://schemas.openxmlformats.org/officeDocument/2006/relationships/hyperlink" Target="#'Reporte de ejecuci&#243;n - Entrega2'!A54" TargetMode="External" Id="rId1"/></Relationships>
</file>

<file path=xl/worksheets/_rels/sheet54.xml.rels><Relationships xmlns="http://schemas.openxmlformats.org/package/2006/relationships"><Relationship Type="http://schemas.openxmlformats.org/officeDocument/2006/relationships/hyperlink" Target="#'Reporte de ejecuci&#243;n - Entrega2'!A55" TargetMode="External" Id="rId1"/></Relationships>
</file>

<file path=xl/worksheets/_rels/sheet55.xml.rels><Relationships xmlns="http://schemas.openxmlformats.org/package/2006/relationships"><Relationship Type="http://schemas.openxmlformats.org/officeDocument/2006/relationships/hyperlink" Target="#'Reporte de ejecuci&#243;n - Entrega2'!A56" TargetMode="External" Id="rId1"/></Relationships>
</file>

<file path=xl/worksheets/_rels/sheet56.xml.rels><Relationships xmlns="http://schemas.openxmlformats.org/package/2006/relationships"><Relationship Type="http://schemas.openxmlformats.org/officeDocument/2006/relationships/hyperlink" Target="#'Reporte de ejecuci&#243;n - Entrega2'!A57" TargetMode="External" Id="rId1"/></Relationships>
</file>

<file path=xl/worksheets/_rels/sheet57.xml.rels><Relationships xmlns="http://schemas.openxmlformats.org/package/2006/relationships"><Relationship Type="http://schemas.openxmlformats.org/officeDocument/2006/relationships/hyperlink" Target="#'Reporte de ejecuci&#243;n - Entrega2'!A58" TargetMode="External" Id="rId1"/></Relationships>
</file>

<file path=xl/worksheets/_rels/sheet58.xml.rels><Relationships xmlns="http://schemas.openxmlformats.org/package/2006/relationships"><Relationship Type="http://schemas.openxmlformats.org/officeDocument/2006/relationships/hyperlink" Target="#'Reporte de ejecuci&#243;n - Entrega2'!A59" TargetMode="External" Id="rId1"/></Relationships>
</file>

<file path=xl/worksheets/_rels/sheet59.xml.rels><Relationships xmlns="http://schemas.openxmlformats.org/package/2006/relationships"><Relationship Type="http://schemas.openxmlformats.org/officeDocument/2006/relationships/hyperlink" Target="#'Reporte de ejecuci&#243;n - Entrega2'!A60" TargetMode="External" Id="rId1"/></Relationships>
</file>

<file path=xl/worksheets/_rels/sheet60.xml.rels><Relationships xmlns="http://schemas.openxmlformats.org/package/2006/relationships"><Relationship Type="http://schemas.openxmlformats.org/officeDocument/2006/relationships/hyperlink" Target="#'Reporte de ejecuci&#243;n - Entrega2'!A61" TargetMode="External" Id="rId1"/></Relationships>
</file>

<file path=xl/worksheets/_rels/sheet61.xml.rels><Relationships xmlns="http://schemas.openxmlformats.org/package/2006/relationships"><Relationship Type="http://schemas.openxmlformats.org/officeDocument/2006/relationships/hyperlink" Target="#'Reporte de ejecuci&#243;n - Entrega2'!A62" TargetMode="External" Id="rId1"/></Relationships>
</file>

<file path=xl/worksheets/_rels/sheet62.xml.rels><Relationships xmlns="http://schemas.openxmlformats.org/package/2006/relationships"><Relationship Type="http://schemas.openxmlformats.org/officeDocument/2006/relationships/hyperlink" Target="#'Reporte de ejecuci&#243;n - Entrega2'!A63" TargetMode="External" Id="rId1"/></Relationships>
</file>

<file path=xl/worksheets/_rels/sheet63.xml.rels><Relationships xmlns="http://schemas.openxmlformats.org/package/2006/relationships"><Relationship Type="http://schemas.openxmlformats.org/officeDocument/2006/relationships/hyperlink" Target="#'Reporte de ejecuci&#243;n - Entrega2'!A64" TargetMode="External" Id="rId1"/></Relationships>
</file>

<file path=xl/worksheets/_rels/sheet64.xml.rels><Relationships xmlns="http://schemas.openxmlformats.org/package/2006/relationships"><Relationship Type="http://schemas.openxmlformats.org/officeDocument/2006/relationships/hyperlink" Target="#'Reporte de ejecuci&#243;n - Entrega2'!A65" TargetMode="External" Id="rId1"/></Relationships>
</file>

<file path=xl/worksheets/_rels/sheet65.xml.rels><Relationships xmlns="http://schemas.openxmlformats.org/package/2006/relationships"><Relationship Type="http://schemas.openxmlformats.org/officeDocument/2006/relationships/hyperlink" Target="#'Reporte de ejecuci&#243;n - Entrega2'!A66" TargetMode="External" Id="rId1"/></Relationships>
</file>

<file path=xl/worksheets/_rels/sheet66.xml.rels><Relationships xmlns="http://schemas.openxmlformats.org/package/2006/relationships"><Relationship Type="http://schemas.openxmlformats.org/officeDocument/2006/relationships/hyperlink" Target="#'Reporte de ejecuci&#243;n - Entrega2'!A67" TargetMode="External" Id="rId1"/></Relationships>
</file>

<file path=xl/worksheets/_rels/sheet67.xml.rels><Relationships xmlns="http://schemas.openxmlformats.org/package/2006/relationships"><Relationship Type="http://schemas.openxmlformats.org/officeDocument/2006/relationships/hyperlink" Target="#'Reporte de ejecuci&#243;n - Entrega2'!A68" TargetMode="External" Id="rId1"/></Relationships>
</file>

<file path=xl/worksheets/_rels/sheet68.xml.rels><Relationships xmlns="http://schemas.openxmlformats.org/package/2006/relationships"><Relationship Type="http://schemas.openxmlformats.org/officeDocument/2006/relationships/hyperlink" Target="#'Reporte de ejecuci&#243;n - Entrega2'!A69" TargetMode="External" Id="rId1"/></Relationships>
</file>

<file path=xl/worksheets/_rels/sheet69.xml.rels><Relationships xmlns="http://schemas.openxmlformats.org/package/2006/relationships"><Relationship Type="http://schemas.openxmlformats.org/officeDocument/2006/relationships/hyperlink" Target="#'Reporte de ejecuci&#243;n - Entrega2'!A70" TargetMode="External" Id="rId1"/></Relationships>
</file>

<file path=xl/worksheets/_rels/sheet70.xml.rels><Relationships xmlns="http://schemas.openxmlformats.org/package/2006/relationships"><Relationship Type="http://schemas.openxmlformats.org/officeDocument/2006/relationships/hyperlink" Target="#'Reporte de ejecuci&#243;n - Entrega2'!A71" TargetMode="External" Id="rId1"/></Relationships>
</file>

<file path=xl/worksheets/_rels/sheet71.xml.rels><Relationships xmlns="http://schemas.openxmlformats.org/package/2006/relationships"><Relationship Type="http://schemas.openxmlformats.org/officeDocument/2006/relationships/hyperlink" Target="#'Reporte de ejecuci&#243;n - Entrega2'!A72" TargetMode="External" Id="rId1"/></Relationships>
</file>

<file path=xl/worksheets/_rels/sheet72.xml.rels><Relationships xmlns="http://schemas.openxmlformats.org/package/2006/relationships"><Relationship Type="http://schemas.openxmlformats.org/officeDocument/2006/relationships/hyperlink" Target="#'Reporte de ejecuci&#243;n - Entrega2'!A73" TargetMode="External" Id="rId1"/></Relationships>
</file>

<file path=xl/worksheets/_rels/sheet73.xml.rels><Relationships xmlns="http://schemas.openxmlformats.org/package/2006/relationships"><Relationship Type="http://schemas.openxmlformats.org/officeDocument/2006/relationships/hyperlink" Target="#'Reporte de ejecuci&#243;n - Entrega2'!A74" TargetMode="External" Id="rId1"/></Relationships>
</file>

<file path=xl/worksheets/_rels/sheet74.xml.rels><Relationships xmlns="http://schemas.openxmlformats.org/package/2006/relationships"><Relationship Type="http://schemas.openxmlformats.org/officeDocument/2006/relationships/hyperlink" Target="#'Reporte de ejecuci&#243;n - Entrega2'!A75" TargetMode="External" Id="rId1"/></Relationships>
</file>

<file path=xl/worksheets/_rels/sheet75.xml.rels><Relationships xmlns="http://schemas.openxmlformats.org/package/2006/relationships"><Relationship Type="http://schemas.openxmlformats.org/officeDocument/2006/relationships/hyperlink" Target="#'Reporte de ejecuci&#243;n - Entrega2'!A76" TargetMode="External" Id="rId1"/></Relationships>
</file>

<file path=xl/worksheets/_rels/sheet76.xml.rels><Relationships xmlns="http://schemas.openxmlformats.org/package/2006/relationships"><Relationship Type="http://schemas.openxmlformats.org/officeDocument/2006/relationships/hyperlink" Target="#'Reporte de ejecuci&#243;n - Entrega2'!A77" TargetMode="External" Id="rId1"/></Relationships>
</file>

<file path=xl/worksheets/_rels/sheet77.xml.rels><Relationships xmlns="http://schemas.openxmlformats.org/package/2006/relationships"><Relationship Type="http://schemas.openxmlformats.org/officeDocument/2006/relationships/hyperlink" Target="#'Reporte de ejecuci&#243;n - Entrega2'!A78" TargetMode="External" Id="rId1"/></Relationships>
</file>

<file path=xl/worksheets/_rels/sheet78.xml.rels><Relationships xmlns="http://schemas.openxmlformats.org/package/2006/relationships"><Relationship Type="http://schemas.openxmlformats.org/officeDocument/2006/relationships/hyperlink" Target="#'Reporte de ejecuci&#243;n - Entrega2'!A79" TargetMode="External" Id="rId1"/></Relationships>
</file>

<file path=xl/worksheets/_rels/sheet79.xml.rels><Relationships xmlns="http://schemas.openxmlformats.org/package/2006/relationships"><Relationship Type="http://schemas.openxmlformats.org/officeDocument/2006/relationships/hyperlink" Target="#'Reporte de ejecuci&#243;n - Entrega2'!A80" TargetMode="External" Id="rId1"/></Relationships>
</file>

<file path=xl/worksheets/_rels/sheet80.xml.rels><Relationships xmlns="http://schemas.openxmlformats.org/package/2006/relationships"><Relationship Type="http://schemas.openxmlformats.org/officeDocument/2006/relationships/hyperlink" Target="#'Reporte de ejecuci&#243;n - Entrega2'!A81" TargetMode="External" Id="rId1"/></Relationships>
</file>

<file path=xl/worksheets/_rels/sheet81.xml.rels><Relationships xmlns="http://schemas.openxmlformats.org/package/2006/relationships"><Relationship Type="http://schemas.openxmlformats.org/officeDocument/2006/relationships/hyperlink" Target="#'Reporte de ejecuci&#243;n - Entrega2'!A82" TargetMode="External" Id="rId1"/></Relationships>
</file>

<file path=xl/worksheets/_rels/sheet82.xml.rels><Relationships xmlns="http://schemas.openxmlformats.org/package/2006/relationships"><Relationship Type="http://schemas.openxmlformats.org/officeDocument/2006/relationships/hyperlink" Target="#'Reporte de ejecuci&#243;n - Entrega2'!A83" TargetMode="External" Id="rId1"/></Relationships>
</file>

<file path=xl/worksheets/_rels/sheet83.xml.rels><Relationships xmlns="http://schemas.openxmlformats.org/package/2006/relationships"><Relationship Type="http://schemas.openxmlformats.org/officeDocument/2006/relationships/hyperlink" Target="#'Reporte de ejecuci&#243;n - Entrega2'!A84" TargetMode="External" Id="rId1"/></Relationships>
</file>

<file path=xl/worksheets/_rels/sheet84.xml.rels><Relationships xmlns="http://schemas.openxmlformats.org/package/2006/relationships"><Relationship Type="http://schemas.openxmlformats.org/officeDocument/2006/relationships/hyperlink" Target="#'Reporte de ejecuci&#243;n - Entrega2'!A85" TargetMode="External" Id="rId1"/></Relationships>
</file>

<file path=xl/worksheets/_rels/sheet85.xml.rels><Relationships xmlns="http://schemas.openxmlformats.org/package/2006/relationships"><Relationship Type="http://schemas.openxmlformats.org/officeDocument/2006/relationships/hyperlink" Target="#'Reporte de ejecuci&#243;n - Entrega2'!A86" TargetMode="External" Id="rId1"/></Relationships>
</file>

<file path=xl/worksheets/_rels/sheet86.xml.rels><Relationships xmlns="http://schemas.openxmlformats.org/package/2006/relationships"><Relationship Type="http://schemas.openxmlformats.org/officeDocument/2006/relationships/hyperlink" Target="#'Reporte de ejecuci&#243;n - Entrega2'!A87" TargetMode="External" Id="rId1"/></Relationships>
</file>

<file path=xl/worksheets/_rels/sheet87.xml.rels><Relationships xmlns="http://schemas.openxmlformats.org/package/2006/relationships"><Relationship Type="http://schemas.openxmlformats.org/officeDocument/2006/relationships/hyperlink" Target="#'Reporte de ejecuci&#243;n - Entrega2'!A88" TargetMode="External" Id="rId1"/></Relationships>
</file>

<file path=xl/worksheets/_rels/sheet88.xml.rels><Relationships xmlns="http://schemas.openxmlformats.org/package/2006/relationships"><Relationship Type="http://schemas.openxmlformats.org/officeDocument/2006/relationships/hyperlink" Target="#'Reporte de ejecuci&#243;n - Entrega2'!A89" TargetMode="External" Id="rId1"/></Relationships>
</file>

<file path=xl/worksheets/_rels/sheet89.xml.rels><Relationships xmlns="http://schemas.openxmlformats.org/package/2006/relationships"><Relationship Type="http://schemas.openxmlformats.org/officeDocument/2006/relationships/hyperlink" Target="#'Reporte de ejecuci&#243;n - Entrega2'!A90" TargetMode="External" Id="rId1"/></Relationships>
</file>

<file path=xl/worksheets/_rels/sheet90.xml.rels><Relationships xmlns="http://schemas.openxmlformats.org/package/2006/relationships"><Relationship Type="http://schemas.openxmlformats.org/officeDocument/2006/relationships/hyperlink" Target="#'Reporte de ejecuci&#243;n - Entrega2'!A91" TargetMode="External" Id="rId1"/></Relationships>
</file>

<file path=xl/worksheets/_rels/sheet91.xml.rels><Relationships xmlns="http://schemas.openxmlformats.org/package/2006/relationships"><Relationship Type="http://schemas.openxmlformats.org/officeDocument/2006/relationships/hyperlink" Target="#'Reporte de ejecuci&#243;n - Entrega2'!A92" TargetMode="External" Id="rId1"/></Relationships>
</file>

<file path=xl/worksheets/_rels/sheet92.xml.rels><Relationships xmlns="http://schemas.openxmlformats.org/package/2006/relationships"><Relationship Type="http://schemas.openxmlformats.org/officeDocument/2006/relationships/hyperlink" Target="#'Reporte de ejecuci&#243;n - Entrega2'!A93" TargetMode="External" Id="rId1"/></Relationships>
</file>

<file path=xl/worksheets/_rels/sheet93.xml.rels><Relationships xmlns="http://schemas.openxmlformats.org/package/2006/relationships"><Relationship Type="http://schemas.openxmlformats.org/officeDocument/2006/relationships/hyperlink" Target="#'Reporte de ejecuci&#243;n - Entrega2'!A94" TargetMode="External" Id="rId1"/></Relationships>
</file>

<file path=xl/worksheets/_rels/sheet94.xml.rels><Relationships xmlns="http://schemas.openxmlformats.org/package/2006/relationships"><Relationship Type="http://schemas.openxmlformats.org/officeDocument/2006/relationships/hyperlink" Target="#'Reporte de ejecuci&#243;n - Entrega2'!A95" TargetMode="External" Id="rId1"/></Relationships>
</file>

<file path=xl/worksheets/_rels/sheet95.xml.rels><Relationships xmlns="http://schemas.openxmlformats.org/package/2006/relationships"><Relationship Type="http://schemas.openxmlformats.org/officeDocument/2006/relationships/hyperlink" Target="#'Reporte de ejecuci&#243;n - Entrega2'!A96" TargetMode="External" Id="rId1"/></Relationships>
</file>

<file path=xl/worksheets/_rels/sheet96.xml.rels><Relationships xmlns="http://schemas.openxmlformats.org/package/2006/relationships"><Relationship Type="http://schemas.openxmlformats.org/officeDocument/2006/relationships/hyperlink" Target="#'Reporte de ejecuci&#243;n - Entrega2'!A97" TargetMode="External" Id="rId1"/></Relationships>
</file>

<file path=xl/worksheets/_rels/sheet97.xml.rels><Relationships xmlns="http://schemas.openxmlformats.org/package/2006/relationships"><Relationship Type="http://schemas.openxmlformats.org/officeDocument/2006/relationships/hyperlink" Target="#'Reporte de ejecuci&#243;n - Entrega2'!A98" TargetMode="External" Id="rId1"/></Relationships>
</file>

<file path=xl/worksheets/_rels/sheet98.xml.rels><Relationships xmlns="http://schemas.openxmlformats.org/package/2006/relationships"><Relationship Type="http://schemas.openxmlformats.org/officeDocument/2006/relationships/hyperlink" Target="#'Reporte de ejecuci&#243;n - Entrega2'!A99" TargetMode="External" Id="rId1"/></Relationships>
</file>

<file path=xl/worksheets/_rels/sheet99.xml.rels><Relationships xmlns="http://schemas.openxmlformats.org/package/2006/relationships"><Relationship Type="http://schemas.openxmlformats.org/officeDocument/2006/relationships/hyperlink" Target="#'Reporte de ejecuci&#243;n - Entrega2'!A100" TargetMode="External" Id="rId1"/></Relationships>
</file>

<file path=xl/worksheets/_rels/sheet100.xml.rels><Relationships xmlns="http://schemas.openxmlformats.org/package/2006/relationships"><Relationship Type="http://schemas.openxmlformats.org/officeDocument/2006/relationships/hyperlink" Target="#'Reporte de ejecuci&#243;n - Entrega2'!A101" TargetMode="External" Id="rId1"/></Relationships>
</file>

<file path=xl/worksheets/_rels/sheet101.xml.rels><Relationships xmlns="http://schemas.openxmlformats.org/package/2006/relationships"><Relationship Type="http://schemas.openxmlformats.org/officeDocument/2006/relationships/hyperlink" Target="#'Reporte de ejecuci&#243;n - Entrega2'!A102" TargetMode="External" Id="rId1"/></Relationships>
</file>

<file path=xl/worksheets/_rels/sheet102.xml.rels><Relationships xmlns="http://schemas.openxmlformats.org/package/2006/relationships"><Relationship Type="http://schemas.openxmlformats.org/officeDocument/2006/relationships/hyperlink" Target="#'Reporte de ejecuci&#243;n - Entrega2'!A103" TargetMode="External" Id="rId1"/></Relationships>
</file>

<file path=xl/worksheets/_rels/sheet103.xml.rels><Relationships xmlns="http://schemas.openxmlformats.org/package/2006/relationships"><Relationship Type="http://schemas.openxmlformats.org/officeDocument/2006/relationships/hyperlink" Target="#'Reporte de ejecuci&#243;n - Entrega2'!A104" TargetMode="External" Id="rId1"/></Relationships>
</file>

<file path=xl/worksheets/_rels/sheet104.xml.rels><Relationships xmlns="http://schemas.openxmlformats.org/package/2006/relationships"><Relationship Type="http://schemas.openxmlformats.org/officeDocument/2006/relationships/hyperlink" Target="#'Reporte de ejecuci&#243;n - Entrega2'!A105" TargetMode="External" Id="rId1"/></Relationships>
</file>

<file path=xl/worksheets/_rels/sheet105.xml.rels><Relationships xmlns="http://schemas.openxmlformats.org/package/2006/relationships"><Relationship Type="http://schemas.openxmlformats.org/officeDocument/2006/relationships/hyperlink" Target="#'Reporte de ejecuci&#243;n - Entrega2'!A106" TargetMode="External" Id="rId1"/></Relationships>
</file>

<file path=xl/worksheets/_rels/sheet106.xml.rels><Relationships xmlns="http://schemas.openxmlformats.org/package/2006/relationships"><Relationship Type="http://schemas.openxmlformats.org/officeDocument/2006/relationships/hyperlink" Target="#'Reporte de ejecuci&#243;n - Entrega2'!A107" TargetMode="External" Id="rId1"/></Relationships>
</file>

<file path=xl/worksheets/_rels/sheet107.xml.rels><Relationships xmlns="http://schemas.openxmlformats.org/package/2006/relationships"><Relationship Type="http://schemas.openxmlformats.org/officeDocument/2006/relationships/hyperlink" Target="#'Reporte de ejecuci&#243;n - Entrega2'!A108" TargetMode="External" Id="rId1"/></Relationships>
</file>

<file path=xl/worksheets/_rels/sheet108.xml.rels><Relationships xmlns="http://schemas.openxmlformats.org/package/2006/relationships"><Relationship Type="http://schemas.openxmlformats.org/officeDocument/2006/relationships/hyperlink" Target="#'Reporte de ejecuci&#243;n - Entrega2'!A109" TargetMode="External" Id="rId1"/></Relationships>
</file>

<file path=xl/worksheets/_rels/sheet109.xml.rels><Relationships xmlns="http://schemas.openxmlformats.org/package/2006/relationships"><Relationship Type="http://schemas.openxmlformats.org/officeDocument/2006/relationships/hyperlink" Target="#'Reporte de ejecuci&#243;n - Entrega2'!A110" TargetMode="External" Id="rId1"/></Relationships>
</file>

<file path=xl/worksheets/_rels/sheet110.xml.rels><Relationships xmlns="http://schemas.openxmlformats.org/package/2006/relationships"><Relationship Type="http://schemas.openxmlformats.org/officeDocument/2006/relationships/hyperlink" Target="#'Reporte de ejecuci&#243;n - Entrega2'!A111" TargetMode="External" Id="rId1"/></Relationships>
</file>

<file path=xl/worksheets/_rels/sheet111.xml.rels><Relationships xmlns="http://schemas.openxmlformats.org/package/2006/relationships"><Relationship Type="http://schemas.openxmlformats.org/officeDocument/2006/relationships/hyperlink" Target="#'Reporte de ejecuci&#243;n - Entrega2'!A112" TargetMode="External" Id="rId1"/></Relationships>
</file>

<file path=xl/worksheets/_rels/sheet112.xml.rels><Relationships xmlns="http://schemas.openxmlformats.org/package/2006/relationships"><Relationship Type="http://schemas.openxmlformats.org/officeDocument/2006/relationships/hyperlink" Target="#'Reporte de ejecuci&#243;n - Entrega2'!A113" TargetMode="External" Id="rId1"/></Relationships>
</file>

<file path=xl/worksheets/_rels/sheet113.xml.rels><Relationships xmlns="http://schemas.openxmlformats.org/package/2006/relationships"><Relationship Type="http://schemas.openxmlformats.org/officeDocument/2006/relationships/hyperlink" Target="#'Reporte de ejecuci&#243;n - Entrega2'!A114" TargetMode="External" Id="rId1"/></Relationships>
</file>

<file path=xl/worksheets/_rels/sheet114.xml.rels><Relationships xmlns="http://schemas.openxmlformats.org/package/2006/relationships"><Relationship Type="http://schemas.openxmlformats.org/officeDocument/2006/relationships/hyperlink" Target="#'Reporte de ejecuci&#243;n - Entrega2'!A115" TargetMode="External" Id="rId1"/></Relationships>
</file>

<file path=xl/worksheets/_rels/sheet115.xml.rels><Relationships xmlns="http://schemas.openxmlformats.org/package/2006/relationships"><Relationship Type="http://schemas.openxmlformats.org/officeDocument/2006/relationships/hyperlink" Target="#'Reporte de ejecuci&#243;n - Entrega2'!A116" TargetMode="External" Id="rId1"/></Relationships>
</file>

<file path=xl/worksheets/_rels/sheet116.xml.rels><Relationships xmlns="http://schemas.openxmlformats.org/package/2006/relationships"><Relationship Type="http://schemas.openxmlformats.org/officeDocument/2006/relationships/hyperlink" Target="#'Reporte de ejecuci&#243;n - Entrega2'!A117" TargetMode="External" Id="rId1"/></Relationships>
</file>

<file path=xl/worksheets/_rels/sheet117.xml.rels><Relationships xmlns="http://schemas.openxmlformats.org/package/2006/relationships"><Relationship Type="http://schemas.openxmlformats.org/officeDocument/2006/relationships/hyperlink" Target="#'Reporte de ejecuci&#243;n - Entrega2'!A118" TargetMode="External" Id="rId1"/></Relationships>
</file>

<file path=xl/worksheets/_rels/sheet118.xml.rels><Relationships xmlns="http://schemas.openxmlformats.org/package/2006/relationships"><Relationship Type="http://schemas.openxmlformats.org/officeDocument/2006/relationships/hyperlink" Target="#'Reporte de ejecuci&#243;n - Entrega2'!A119" TargetMode="External" Id="rId1"/></Relationships>
</file>

<file path=xl/worksheets/_rels/sheet119.xml.rels><Relationships xmlns="http://schemas.openxmlformats.org/package/2006/relationships"><Relationship Type="http://schemas.openxmlformats.org/officeDocument/2006/relationships/hyperlink" Target="#'Reporte de ejecuci&#243;n - Entrega2'!A120" TargetMode="External" Id="rId1"/></Relationships>
</file>

<file path=xl/worksheets/_rels/sheet120.xml.rels><Relationships xmlns="http://schemas.openxmlformats.org/package/2006/relationships"><Relationship Type="http://schemas.openxmlformats.org/officeDocument/2006/relationships/hyperlink" Target="#'Reporte de ejecuci&#243;n - Entrega2'!A121" TargetMode="External" Id="rId1"/></Relationships>
</file>

<file path=xl/worksheets/_rels/sheet121.xml.rels><Relationships xmlns="http://schemas.openxmlformats.org/package/2006/relationships"><Relationship Type="http://schemas.openxmlformats.org/officeDocument/2006/relationships/hyperlink" Target="#'Reporte de ejecuci&#243;n - Entrega2'!A122" TargetMode="External" Id="rId1"/></Relationships>
</file>

<file path=xl/worksheets/_rels/sheet122.xml.rels><Relationships xmlns="http://schemas.openxmlformats.org/package/2006/relationships"><Relationship Type="http://schemas.openxmlformats.org/officeDocument/2006/relationships/hyperlink" Target="#'Reporte de ejecuci&#243;n - Entrega2'!A123" TargetMode="External" Id="rId1"/></Relationships>
</file>

<file path=xl/worksheets/_rels/sheet123.xml.rels><Relationships xmlns="http://schemas.openxmlformats.org/package/2006/relationships"><Relationship Type="http://schemas.openxmlformats.org/officeDocument/2006/relationships/hyperlink" Target="#'Reporte de ejecuci&#243;n - Entrega2'!A124" TargetMode="External" Id="rId1"/></Relationships>
</file>

<file path=xl/worksheets/_rels/sheet124.xml.rels><Relationships xmlns="http://schemas.openxmlformats.org/package/2006/relationships"><Relationship Type="http://schemas.openxmlformats.org/officeDocument/2006/relationships/hyperlink" Target="#'Reporte de ejecuci&#243;n - Entrega2'!A125" TargetMode="External" Id="rId1"/></Relationships>
</file>

<file path=xl/worksheets/_rels/sheet125.xml.rels><Relationships xmlns="http://schemas.openxmlformats.org/package/2006/relationships"><Relationship Type="http://schemas.openxmlformats.org/officeDocument/2006/relationships/hyperlink" Target="#'Reporte de ejecuci&#243;n - Entrega2'!A126" TargetMode="External" Id="rId1"/></Relationships>
</file>

<file path=xl/worksheets/_rels/sheet126.xml.rels><Relationships xmlns="http://schemas.openxmlformats.org/package/2006/relationships"><Relationship Type="http://schemas.openxmlformats.org/officeDocument/2006/relationships/hyperlink" Target="#'Reporte de ejecuci&#243;n - Entrega2'!A127" TargetMode="External" Id="rId1"/></Relationships>
</file>

<file path=xl/worksheets/_rels/sheet127.xml.rels><Relationships xmlns="http://schemas.openxmlformats.org/package/2006/relationships"><Relationship Type="http://schemas.openxmlformats.org/officeDocument/2006/relationships/hyperlink" Target="#'Reporte de ejecuci&#243;n - Entrega2'!A128" TargetMode="External" Id="rId1"/></Relationships>
</file>

<file path=xl/worksheets/_rels/sheet128.xml.rels><Relationships xmlns="http://schemas.openxmlformats.org/package/2006/relationships"><Relationship Type="http://schemas.openxmlformats.org/officeDocument/2006/relationships/hyperlink" Target="#'Reporte de ejecuci&#243;n - Entrega2'!A129" TargetMode="External" Id="rId1"/></Relationships>
</file>

<file path=xl/worksheets/_rels/sheet129.xml.rels><Relationships xmlns="http://schemas.openxmlformats.org/package/2006/relationships"><Relationship Type="http://schemas.openxmlformats.org/officeDocument/2006/relationships/hyperlink" Target="#'Reporte de ejecuci&#243;n - Entrega2'!A130" TargetMode="External" Id="rId1"/></Relationships>
</file>

<file path=xl/worksheets/_rels/sheet130.xml.rels><Relationships xmlns="http://schemas.openxmlformats.org/package/2006/relationships"><Relationship Type="http://schemas.openxmlformats.org/officeDocument/2006/relationships/hyperlink" Target="#'Reporte de ejecuci&#243;n - Entrega2'!A131" TargetMode="External" Id="rId1"/></Relationships>
</file>

<file path=xl/worksheets/sheet1.xml><?xml version="1.0" encoding="utf-8"?>
<worksheet xmlns="http://schemas.openxmlformats.org/spreadsheetml/2006/main">
  <sheetPr>
    <tabColor rgb="004472C4"/>
    <outlinePr summaryBelow="1" summaryRight="1"/>
    <pageSetUpPr fitToPage="1"/>
  </sheetPr>
  <dimension ref="A1:V13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7" customWidth="1" min="2" max="2"/>
    <col width="7" customWidth="1" min="3" max="3"/>
    <col width="9" customWidth="1" min="4" max="4"/>
    <col width="44" customWidth="1" min="5" max="5"/>
    <col width="10" customWidth="1" min="6" max="6"/>
    <col width="8" customWidth="1" min="7" max="7"/>
    <col width="12" customWidth="1" min="8" max="8"/>
    <col width="12" customWidth="1" min="9" max="9"/>
    <col width="9" customWidth="1" min="10" max="10"/>
    <col width="10" customWidth="1" min="11" max="11"/>
    <col width="11" customWidth="1" min="12" max="12"/>
    <col width="10" customWidth="1" min="13" max="13"/>
    <col width="70" customWidth="1" min="14" max="14"/>
    <col width="3" customWidth="1" min="15" max="15"/>
    <col width="52" customWidth="1" min="16" max="16"/>
    <col width="12" customWidth="1" min="17" max="17"/>
    <col width="11" customWidth="1" min="18" max="18"/>
    <col width="11" customWidth="1" min="19" max="19"/>
    <col width="11" customWidth="1" min="20" max="20"/>
    <col width="11" customWidth="1" min="21" max="21"/>
    <col width="13" customWidth="1" min="22" max="22"/>
  </cols>
  <sheetData>
    <row r="1" ht="24" customHeight="1">
      <c r="A1" s="1" t="inlineStr">
        <is>
          <t>GhostMan - Entrega 2 - Reporte de ejecución de casos de prueba (V2, ciclo 2)</t>
        </is>
      </c>
    </row>
    <row r="2" ht="30" customHeight="1">
      <c r="A2" s="2" t="inlineStr">
        <is>
          <t>Todos los casos de prueba ordenados por ID: los nuevos de la V2, la regresión completa de la V1 (35 casos de prioridad Alta, mutados, y 29 de prioridad Media y Baja, ejecutados el 28/10/2026) y las pruebas de confirmación de defectos. Estados según la sección 12.2: Aprobado, Fallido, Bloqueado, No ejecutado, No aplica. «Estado Entrega 1» viene del reporte de la Entrega 1; «¿Cambió?» compara los dos ciclos. El ID de cada caso abre su hoja de detalle.</t>
        </is>
      </c>
    </row>
    <row r="3" ht="30" customHeight="1">
      <c r="A3" s="3" t="inlineStr">
        <is>
          <t>Test case ID</t>
        </is>
      </c>
      <c r="B3" s="3" t="inlineStr">
        <is>
          <t>Tipo de prueba</t>
        </is>
      </c>
      <c r="C3" s="3" t="inlineStr">
        <is>
          <t>Épica</t>
        </is>
      </c>
      <c r="D3" s="3" t="inlineStr">
        <is>
          <t>Prioridad</t>
        </is>
      </c>
      <c r="E3" s="3" t="inlineStr">
        <is>
          <t>Título</t>
        </is>
      </c>
      <c r="F3" s="3" t="inlineStr">
        <is>
          <t>Historia de usuario</t>
        </is>
      </c>
      <c r="G3" s="3" t="inlineStr">
        <is>
          <t>Camino feliz</t>
        </is>
      </c>
      <c r="H3" s="3" t="inlineStr">
        <is>
          <t>Estado Entrega 1</t>
        </is>
      </c>
      <c r="I3" s="3" t="inlineStr">
        <is>
          <t>Estado Entrega 2</t>
        </is>
      </c>
      <c r="J3" s="3" t="inlineStr">
        <is>
          <t>¿Cambió?</t>
        </is>
      </c>
      <c r="K3" s="3" t="inlineStr">
        <is>
          <t>Ejecutor</t>
        </is>
      </c>
      <c r="L3" s="3" t="inlineStr">
        <is>
          <t>Fecha</t>
        </is>
      </c>
      <c r="M3" s="3" t="inlineStr">
        <is>
          <t>Defectos</t>
        </is>
      </c>
      <c r="N3" s="3" t="inlineStr">
        <is>
          <t>Observaciones</t>
        </is>
      </c>
      <c r="P3" s="4" t="inlineStr">
        <is>
          <t>Identificación del ciclo (sección 12.1)</t>
        </is>
      </c>
      <c r="Q3" s="23" t="n"/>
      <c r="R3" s="23" t="n"/>
      <c r="S3" s="24" t="n"/>
    </row>
    <row r="4" ht="16.2" customHeight="1">
      <c r="A4" s="6" t="inlineStr">
        <is>
          <t>CP-001</t>
        </is>
      </c>
      <c r="B4" s="7" t="inlineStr">
        <is>
          <t>Regresión (V1, mutado)</t>
        </is>
      </c>
      <c r="C4" s="8" t="inlineStr">
        <is>
          <t>E1</t>
        </is>
      </c>
      <c r="D4" s="9" t="inlineStr">
        <is>
          <t>Alta</t>
        </is>
      </c>
      <c r="E4" s="7" t="inlineStr">
        <is>
          <t>Movimiento de Pacman con las flechas</t>
        </is>
      </c>
      <c r="F4" s="8" t="inlineStr">
        <is>
          <t>HU-01</t>
        </is>
      </c>
      <c r="G4" s="8" t="inlineStr">
        <is>
          <t>Sí</t>
        </is>
      </c>
      <c r="H4" s="8" t="inlineStr">
        <is>
          <t>Aprobado</t>
        </is>
      </c>
      <c r="I4" s="10" t="inlineStr">
        <is>
          <t>Aprobado</t>
        </is>
      </c>
      <c r="J4" s="8">
        <f>IF(OR(H4="—",I4="",I4="No ejecutado"),"—",IF(H4=I4,"No","Sí"))</f>
        <v/>
      </c>
      <c r="K4" s="11" t="inlineStr">
        <is>
          <t>Luzzi</t>
        </is>
      </c>
      <c r="L4" s="39" t="n">
        <v>46307</v>
      </c>
      <c r="M4" s="11" t="n"/>
      <c r="N4" s="11" t="inlineStr">
        <is>
          <t>Mutación: Secuencia invertida: ↓ → ↑ ← (la V1 usó ← ↑ → ↓). Desde el cruce (4,6), ↓ → ↑ ← desplazaron a Pacman hacia abajo, derecha, arriba e izquierda respectivamente. (Fantasmas retirados y posiciones preparadas por script para aislar la condición.)</t>
        </is>
      </c>
      <c r="P4" s="13" t="inlineStr">
        <is>
          <t>Ciclo de ejecución</t>
        </is>
      </c>
      <c r="Q4" s="11" t="inlineStr">
        <is>
          <t>Nº 2 (primer ciclo de la V2)</t>
        </is>
      </c>
      <c r="R4" s="23" t="n"/>
      <c r="S4" s="23" t="n"/>
      <c r="T4" s="23" t="n"/>
      <c r="U4" s="23" t="n"/>
      <c r="V4" s="24" t="n"/>
    </row>
    <row r="5" ht="16.2" customHeight="1">
      <c r="A5" s="6" t="inlineStr">
        <is>
          <t>CP-002</t>
        </is>
      </c>
      <c r="B5" s="7" t="inlineStr">
        <is>
          <t>Regresión (V1, mutado)</t>
        </is>
      </c>
      <c r="C5" s="8" t="inlineStr">
        <is>
          <t>E1</t>
        </is>
      </c>
      <c r="D5" s="9" t="inlineStr">
        <is>
          <t>Alta</t>
        </is>
      </c>
      <c r="E5" s="7" t="inlineStr">
        <is>
          <t>Movimiento de Pacman con WASD</t>
        </is>
      </c>
      <c r="F5" s="8" t="inlineStr">
        <is>
          <t>HU-01</t>
        </is>
      </c>
      <c r="G5" s="8" t="inlineStr">
        <is>
          <t>Sí</t>
        </is>
      </c>
      <c r="H5" s="8" t="inlineStr">
        <is>
          <t>Aprobado</t>
        </is>
      </c>
      <c r="I5" s="10" t="inlineStr">
        <is>
          <t>Aprobado</t>
        </is>
      </c>
      <c r="J5" s="8">
        <f>IF(OR(H5="—",I5="",I5="No ejecutado"),"—",IF(H5=I5,"No","Sí"))</f>
        <v/>
      </c>
      <c r="K5" s="11" t="inlineStr">
        <is>
          <t>Luzzi</t>
        </is>
      </c>
      <c r="L5" s="39" t="n">
        <v>46307</v>
      </c>
      <c r="M5" s="11" t="n"/>
      <c r="N5" s="11" t="inlineStr">
        <is>
          <t>Mutación: Secuencia invertida: S D W A. S D W A produjeron el mismo desplazamiento que ↓ → ↑ ← (abajo, derecha, arriba, izquierda). (Fantasmas retirados y posiciones preparadas por script para aislar la condición.)</t>
        </is>
      </c>
      <c r="P5" s="13" t="inlineStr">
        <is>
          <t>Versión bajo prueba</t>
        </is>
      </c>
      <c r="Q5" s="11" t="inlineStr">
        <is>
          <t>V2</t>
        </is>
      </c>
      <c r="R5" s="23" t="n"/>
      <c r="S5" s="23" t="n"/>
      <c r="T5" s="23" t="n"/>
      <c r="U5" s="23" t="n"/>
      <c r="V5" s="24" t="n"/>
    </row>
    <row r="6" ht="16.2" customHeight="1">
      <c r="A6" s="6" t="inlineStr">
        <is>
          <t>CP-003</t>
        </is>
      </c>
      <c r="B6" s="7" t="inlineStr">
        <is>
          <t>Regresión (V1, mutado)</t>
        </is>
      </c>
      <c r="C6" s="8" t="inlineStr">
        <is>
          <t>E1</t>
        </is>
      </c>
      <c r="D6" s="9" t="inlineStr">
        <is>
          <t>Alta</t>
        </is>
      </c>
      <c r="E6" s="7" t="inlineStr">
        <is>
          <t>Avance continuo sin mantener la tecla</t>
        </is>
      </c>
      <c r="F6" s="8" t="inlineStr">
        <is>
          <t>HU-01</t>
        </is>
      </c>
      <c r="G6" s="8" t="inlineStr">
        <is>
          <t>Sí</t>
        </is>
      </c>
      <c r="H6" s="8" t="inlineStr">
        <is>
          <t>Aprobado</t>
        </is>
      </c>
      <c r="I6" s="10" t="inlineStr">
        <is>
          <t>Aprobado</t>
        </is>
      </c>
      <c r="J6" s="8">
        <f>IF(OR(H6="—",I6="",I6="No ejecutado"),"—",IF(H6=I6,"No","Sí"))</f>
        <v/>
      </c>
      <c r="K6" s="11" t="inlineStr">
        <is>
          <t>Luzzi</t>
        </is>
      </c>
      <c r="L6" s="39" t="n">
        <v>46307</v>
      </c>
      <c r="M6" s="11" t="n"/>
      <c r="N6" s="11" t="inlineStr">
        <is>
          <t>Mutación: Se usa la dirección ↓ desde una celda distinta a la de la V1 (fila 10). Tras un toque de ↓ en (10,6), Pacman siguió bajando sin mantener la tecla hasta el muro inferior (fila 13) y se detuvo ahí. (Fantasmas retirados y posiciones preparadas por script para aislar la condición.)</t>
        </is>
      </c>
      <c r="P6" s="13" t="inlineStr">
        <is>
          <t>Commit</t>
        </is>
      </c>
      <c r="Q6" s="11" t="inlineStr">
        <is>
          <t>7ec70df (Corregir DEF-001, rama main)</t>
        </is>
      </c>
      <c r="R6" s="23" t="n"/>
      <c r="S6" s="23" t="n"/>
      <c r="T6" s="23" t="n"/>
      <c r="U6" s="23" t="n"/>
      <c r="V6" s="24" t="n"/>
    </row>
    <row r="7" ht="69" customHeight="1">
      <c r="A7" s="6" t="inlineStr">
        <is>
          <t>CP-004</t>
        </is>
      </c>
      <c r="B7" s="7" t="inlineStr">
        <is>
          <t>Regresión (V1, Media/Baja)</t>
        </is>
      </c>
      <c r="C7" s="8" t="inlineStr">
        <is>
          <t>E1</t>
        </is>
      </c>
      <c r="D7" s="9" t="inlineStr">
        <is>
          <t>Media</t>
        </is>
      </c>
      <c r="E7" s="7" t="inlineStr">
        <is>
          <t>Giro postergado hasta la primera celda posible</t>
        </is>
      </c>
      <c r="F7" s="8" t="inlineStr">
        <is>
          <t>HU-01</t>
        </is>
      </c>
      <c r="G7" s="8" t="inlineStr">
        <is>
          <t>No</t>
        </is>
      </c>
      <c r="H7" s="8" t="inlineStr">
        <is>
          <t>Aprobado</t>
        </is>
      </c>
      <c r="I7" s="10" t="inlineStr">
        <is>
          <t>Aprobado</t>
        </is>
      </c>
      <c r="J7" s="8">
        <f>IF(OR(H7="—",I7="",I7="No ejecutado"),"—",IF(H7=I7,"No","Sí"))</f>
        <v/>
      </c>
      <c r="K7" s="11" t="inlineStr">
        <is>
          <t>Luzzi</t>
        </is>
      </c>
      <c r="L7" s="39" t="n">
        <v>46323</v>
      </c>
      <c r="M7" s="11" t="n"/>
      <c r="N7" s="11" t="inlineStr">
        <is>
          <t>Avanzando a la derecha por la fila 4 desde (4,3), ↑ presionado 3 celdas antes de la intersección: Pacman siguió en horizontal sin detenerse y giró hacia arriba al llegar a la columna 6. (Fantasmas retirados y posiciones preparadas por script para aislar la condición.)</t>
        </is>
      </c>
      <c r="P7" s="13" t="inlineStr">
        <is>
          <t>Entorno</t>
        </is>
      </c>
      <c r="Q7" s="11" t="inlineStr">
        <is>
          <t>Build de producción local del commit 7ec70df (next build + next start), con una línea agregada solo para la prueba que expone el estado del juego al script (window.__gm, no se commitea) y sin la fuente de Google. Completar la URL de Vercel cuando se despliegue y repetir una muestra de casos ahí.</t>
        </is>
      </c>
      <c r="R7" s="23" t="n"/>
      <c r="S7" s="23" t="n"/>
      <c r="T7" s="23" t="n"/>
      <c r="U7" s="23" t="n"/>
      <c r="V7" s="24" t="n"/>
    </row>
    <row r="8" ht="16.2" customHeight="1">
      <c r="A8" s="6" t="inlineStr">
        <is>
          <t>CP-005</t>
        </is>
      </c>
      <c r="B8" s="7" t="inlineStr">
        <is>
          <t>Regresión (V1, mutado)</t>
        </is>
      </c>
      <c r="C8" s="8" t="inlineStr">
        <is>
          <t>E1</t>
        </is>
      </c>
      <c r="D8" s="9" t="inlineStr">
        <is>
          <t>Alta</t>
        </is>
      </c>
      <c r="E8" s="7" t="inlineStr">
        <is>
          <t>Dirección bloqueada por un muro</t>
        </is>
      </c>
      <c r="F8" s="8" t="inlineStr">
        <is>
          <t>HU-01</t>
        </is>
      </c>
      <c r="G8" s="8" t="inlineStr">
        <is>
          <t>No</t>
        </is>
      </c>
      <c r="H8" s="8" t="inlineStr">
        <is>
          <t>Aprobado</t>
        </is>
      </c>
      <c r="I8" s="10" t="inlineStr">
        <is>
          <t>Aprobado</t>
        </is>
      </c>
      <c r="J8" s="8">
        <f>IF(OR(H8="—",I8="",I8="No ejecutado"),"—",IF(H8=I8,"No","Sí"))</f>
        <v/>
      </c>
      <c r="K8" s="11" t="inlineStr">
        <is>
          <t>Luzzi</t>
        </is>
      </c>
      <c r="L8" s="39" t="n">
        <v>46307</v>
      </c>
      <c r="M8" s="11" t="n"/>
      <c r="N8" s="11" t="inlineStr">
        <is>
          <t>Mutación: Se ejecuta en la fila 10 con ↓ bloqueado, en lugar de ↑. Avanzando a la derecha por la fila 10 con muro debajo (11,2), ↓ no lo detuvo: siguió hacia la derecha (posición 2.68). (Fantasmas retirados y posiciones preparadas por script para aislar la condición.)</t>
        </is>
      </c>
      <c r="P8" s="13" t="inlineStr">
        <is>
          <t>Navegador y versión</t>
        </is>
      </c>
      <c r="Q8" s="11" t="inlineStr">
        <is>
          <t>Chromium 141 (Playwright), sin interfaz, ventana de 560 × 600</t>
        </is>
      </c>
      <c r="R8" s="23" t="n"/>
      <c r="S8" s="23" t="n"/>
      <c r="T8" s="23" t="n"/>
      <c r="U8" s="23" t="n"/>
      <c r="V8" s="24" t="n"/>
    </row>
    <row r="9" ht="16.2" customHeight="1">
      <c r="A9" s="6" t="inlineStr">
        <is>
          <t>CP-006</t>
        </is>
      </c>
      <c r="B9" s="7" t="inlineStr">
        <is>
          <t>Regresión (V1, Media/Baja)</t>
        </is>
      </c>
      <c r="C9" s="8" t="inlineStr">
        <is>
          <t>E1</t>
        </is>
      </c>
      <c r="D9" s="9" t="inlineStr">
        <is>
          <t>Media</t>
        </is>
      </c>
      <c r="E9" s="7" t="inlineStr">
        <is>
          <t>Inversión de marcha a mitad de corredor</t>
        </is>
      </c>
      <c r="F9" s="8" t="inlineStr">
        <is>
          <t>HU-01</t>
        </is>
      </c>
      <c r="G9" s="8" t="inlineStr">
        <is>
          <t>No</t>
        </is>
      </c>
      <c r="H9" s="8" t="inlineStr">
        <is>
          <t>Aprobado</t>
        </is>
      </c>
      <c r="I9" s="10" t="inlineStr">
        <is>
          <t>Aprobado</t>
        </is>
      </c>
      <c r="J9" s="8">
        <f>IF(OR(H9="—",I9="",I9="No ejecutado"),"—",IF(H9=I9,"No","Sí"))</f>
        <v/>
      </c>
      <c r="K9" s="11" t="inlineStr">
        <is>
          <t>Luzzi</t>
        </is>
      </c>
      <c r="L9" s="39" t="n">
        <v>46323</v>
      </c>
      <c r="M9" s="11" t="n"/>
      <c r="N9" s="11" t="inlineStr">
        <is>
          <t>A mitad del corredor de la fila 7 (posición 3.33, sin intersección), ← invirtió la marcha de inmediato: dirección «left», posición 3.33 → 1.92. (Fantasmas retirados y posiciones preparadas por script para aislar la condición.)</t>
        </is>
      </c>
      <c r="P9" s="13" t="inlineStr">
        <is>
          <t>Fecha de inicio</t>
        </is>
      </c>
      <c r="Q9" s="40" t="n">
        <v>46307</v>
      </c>
      <c r="R9" s="23" t="n"/>
      <c r="S9" s="23" t="n"/>
      <c r="T9" s="23" t="n"/>
      <c r="U9" s="23" t="n"/>
      <c r="V9" s="24" t="n"/>
    </row>
    <row r="10" ht="16.2" customHeight="1">
      <c r="A10" s="6" t="inlineStr">
        <is>
          <t>CP-007</t>
        </is>
      </c>
      <c r="B10" s="7" t="inlineStr">
        <is>
          <t>Regresión (V1, mutado)</t>
        </is>
      </c>
      <c r="C10" s="8" t="inlineStr">
        <is>
          <t>E1</t>
        </is>
      </c>
      <c r="D10" s="9" t="inlineStr">
        <is>
          <t>Alta</t>
        </is>
      </c>
      <c r="E10" s="7" t="inlineStr">
        <is>
          <t>Pacman no atraviesa los muros</t>
        </is>
      </c>
      <c r="F10" s="8" t="inlineStr">
        <is>
          <t>HU-02</t>
        </is>
      </c>
      <c r="G10" s="8" t="inlineStr">
        <is>
          <t>No</t>
        </is>
      </c>
      <c r="H10" s="8" t="inlineStr">
        <is>
          <t>Aprobado</t>
        </is>
      </c>
      <c r="I10" s="10" t="inlineStr">
        <is>
          <t>Aprobado</t>
        </is>
      </c>
      <c r="J10" s="8">
        <f>IF(OR(H10="—",I10="",I10="No ejecutado"),"—",IF(H10=I10,"No","Sí"))</f>
        <v/>
      </c>
      <c r="K10" s="11" t="inlineStr">
        <is>
          <t>Luzzi</t>
        </is>
      </c>
      <c r="L10" s="39" t="n">
        <v>46307</v>
      </c>
      <c r="M10" s="11" t="n"/>
      <c r="N10" s="11" t="inlineStr">
        <is>
          <t>Mutación: Contra un muro a la izquierda (en la V1, a la derecha). Con ← mantenida 5 s contra el muro izquierdo, Pacman se detuvo en (7,1) sin superponerse; luego ↑ lo movió con normalidad (fila 5). (Fantasmas retirados y posiciones preparadas por script para aislar la condición.)</t>
        </is>
      </c>
      <c r="P10" s="13" t="inlineStr">
        <is>
          <t>Fecha de cierre</t>
        </is>
      </c>
      <c r="Q10" s="40" t="n">
        <v>46323</v>
      </c>
      <c r="R10" s="23" t="n"/>
      <c r="S10" s="23" t="n"/>
      <c r="T10" s="23" t="n"/>
      <c r="U10" s="23" t="n"/>
      <c r="V10" s="24" t="n"/>
    </row>
    <row r="11" ht="16.2" customHeight="1">
      <c r="A11" s="6" t="inlineStr">
        <is>
          <t>CP-008</t>
        </is>
      </c>
      <c r="B11" s="7" t="inlineStr">
        <is>
          <t>Regresión (V1, mutado)</t>
        </is>
      </c>
      <c r="C11" s="8" t="inlineStr">
        <is>
          <t>E1</t>
        </is>
      </c>
      <c r="D11" s="9" t="inlineStr">
        <is>
          <t>Alta</t>
        </is>
      </c>
      <c r="E11" s="7" t="inlineStr">
        <is>
          <t>Pacman no sale de los límites del mapa</t>
        </is>
      </c>
      <c r="F11" s="8" t="inlineStr">
        <is>
          <t>HU-02</t>
        </is>
      </c>
      <c r="G11" s="8" t="inlineStr">
        <is>
          <t>No</t>
        </is>
      </c>
      <c r="H11" s="8" t="inlineStr">
        <is>
          <t>Aprobado</t>
        </is>
      </c>
      <c r="I11" s="10" t="inlineStr">
        <is>
          <t>Aprobado</t>
        </is>
      </c>
      <c r="J11" s="8">
        <f>IF(OR(H11="—",I11="",I11="No ejecutado"),"—",IF(H11=I11,"No","Sí"))</f>
        <v/>
      </c>
      <c r="K11" s="11" t="inlineStr">
        <is>
          <t>Luzzi</t>
        </is>
      </c>
      <c r="L11" s="39" t="n">
        <v>46307</v>
      </c>
      <c r="M11" s="11" t="n"/>
      <c r="N11" s="11" t="inlineStr">
        <is>
          <t>Mutación: Bordes recorridos en otro orden: abajo, derecha, arriba, izquierda. En los bordes abajo (13,8), derecha (7,15), arriba (1,8) e izquierda (7,1), con la tecla hacia afuera, Pacman no salió del mapa y quedó visible. (Fantasmas retirados y posiciones preparadas por script para aislar la condición.)</t>
        </is>
      </c>
      <c r="P11" s="13" t="inlineStr">
        <is>
          <t>Ejecutores</t>
        </is>
      </c>
      <c r="Q11" s="11" t="inlineStr">
        <is>
          <t>Luzzi</t>
        </is>
      </c>
      <c r="R11" s="23" t="n"/>
      <c r="S11" s="23" t="n"/>
      <c r="T11" s="23" t="n"/>
      <c r="U11" s="23" t="n"/>
      <c r="V11" s="24" t="n"/>
    </row>
    <row r="12" ht="69" customHeight="1">
      <c r="A12" s="6" t="inlineStr">
        <is>
          <t>CP-009</t>
        </is>
      </c>
      <c r="B12" s="7" t="inlineStr">
        <is>
          <t>Regresión (V1, mutado)</t>
        </is>
      </c>
      <c r="C12" s="8" t="inlineStr">
        <is>
          <t>E1</t>
        </is>
      </c>
      <c r="D12" s="9" t="inlineStr">
        <is>
          <t>Alta</t>
        </is>
      </c>
      <c r="E12" s="7" t="inlineStr">
        <is>
          <t>Los fantasmas clásicos no atraviesan muros</t>
        </is>
      </c>
      <c r="F12" s="8" t="inlineStr">
        <is>
          <t>HU-02</t>
        </is>
      </c>
      <c r="G12" s="8" t="inlineStr">
        <is>
          <t>No</t>
        </is>
      </c>
      <c r="H12" s="8" t="inlineStr">
        <is>
          <t>Aprobado</t>
        </is>
      </c>
      <c r="I12" s="10" t="inlineStr">
        <is>
          <t>Aprobado</t>
        </is>
      </c>
      <c r="J12" s="8">
        <f>IF(OR(H12="—",I12="",I12="No ejecutado"),"—",IF(H12=I12,"No","Sí"))</f>
        <v/>
      </c>
      <c r="K12" s="11" t="inlineStr">
        <is>
          <t>Luzzi</t>
        </is>
      </c>
      <c r="L12" s="39" t="n">
        <v>46307</v>
      </c>
      <c r="M12" s="11" t="n"/>
      <c r="N12" s="11" t="inlineStr">
        <is>
          <t>Mutación: Observación en el nivel 2 en lugar del 1 (solo clásicos al inicio), 60 s. Nivel 2 durante 60 s: ningún fantasma clásico entró a un muro ni salió del mapa (tipos observados: ['classic']). (Vidas repuestas por script para que la partida no termine.)</t>
        </is>
      </c>
      <c r="P12" s="13" t="inlineStr">
        <is>
          <t>Forma de ejecución</t>
        </is>
      </c>
      <c r="Q12" s="11" t="inlineStr">
        <is>
          <t>Script de navegador (Playwright) que maneja el juego con el teclado y el mouse y lee el estado del juego para verificar los resultados. Cuando una precondición es difícil de alcanzar jugando (posiciones, vidas, mapa reducido), el script la prepara y la observación lo indica.</t>
        </is>
      </c>
      <c r="R12" s="23" t="n"/>
      <c r="S12" s="23" t="n"/>
      <c r="T12" s="23" t="n"/>
      <c r="U12" s="23" t="n"/>
      <c r="V12" s="24" t="n"/>
    </row>
    <row r="13" ht="42.59999999999999" customHeight="1">
      <c r="A13" s="6" t="inlineStr">
        <is>
          <t>CP-010</t>
        </is>
      </c>
      <c r="B13" s="7" t="inlineStr">
        <is>
          <t>Regresión (V1, Media/Baja)</t>
        </is>
      </c>
      <c r="C13" s="8" t="inlineStr">
        <is>
          <t>E1</t>
        </is>
      </c>
      <c r="D13" s="9" t="inlineStr">
        <is>
          <t>Media</t>
        </is>
      </c>
      <c r="E13" s="7" t="inlineStr">
        <is>
          <t>Zona transitable coincidente con el mapa dibujado</t>
        </is>
      </c>
      <c r="F13" s="8" t="inlineStr">
        <is>
          <t>HU-02</t>
        </is>
      </c>
      <c r="G13" s="8" t="inlineStr">
        <is>
          <t>No</t>
        </is>
      </c>
      <c r="H13" s="8" t="inlineStr">
        <is>
          <t>Aprobado</t>
        </is>
      </c>
      <c r="I13" s="10" t="inlineStr">
        <is>
          <t>Aprobado</t>
        </is>
      </c>
      <c r="J13" s="8">
        <f>IF(OR(H13="—",I13="",I13="No ejecutado"),"—",IF(H13=I13,"No","Sí"))</f>
        <v/>
      </c>
      <c r="K13" s="11" t="inlineStr">
        <is>
          <t>Luzzi</t>
        </is>
      </c>
      <c r="L13" s="39" t="n">
        <v>46323</v>
      </c>
      <c r="M13" s="11" t="n"/>
      <c r="N13" s="11" t="inlineStr">
        <is>
          <t>Nivel 1: 107 celdas transitables, todas alcanzables desde la posición de Pacman; 106 marcadas con esfera y la única sin marca es la celda inicial de Pacman (7,8), que ocupa él mismo. Ningún muro tiene esfera. (Recorrido verificado sobre el mapa del juego.)</t>
        </is>
      </c>
    </row>
    <row r="14" ht="55.8" customHeight="1">
      <c r="A14" s="6" t="inlineStr">
        <is>
          <t>CP-011</t>
        </is>
      </c>
      <c r="B14" s="7" t="inlineStr">
        <is>
          <t>Regresión (V1, mutado)</t>
        </is>
      </c>
      <c r="C14" s="8" t="inlineStr">
        <is>
          <t>E1</t>
        </is>
      </c>
      <c r="D14" s="9" t="inlineStr">
        <is>
          <t>Alta</t>
        </is>
      </c>
      <c r="E14" s="7" t="inlineStr">
        <is>
          <t>Consumo de una esfera común</t>
        </is>
      </c>
      <c r="F14" s="8" t="inlineStr">
        <is>
          <t>HU-03</t>
        </is>
      </c>
      <c r="G14" s="8" t="inlineStr">
        <is>
          <t>Sí</t>
        </is>
      </c>
      <c r="H14" s="8" t="inlineStr">
        <is>
          <t>Aprobado</t>
        </is>
      </c>
      <c r="I14" s="10" t="inlineStr">
        <is>
          <t>Aprobado</t>
        </is>
      </c>
      <c r="J14" s="8">
        <f>IF(OR(H14="—",I14="",I14="No ejecutado"),"—",IF(H14=I14,"No","Sí"))</f>
        <v/>
      </c>
      <c r="K14" s="11" t="inlineStr">
        <is>
          <t>Luzzi</t>
        </is>
      </c>
      <c r="L14" s="39" t="n">
        <v>46307</v>
      </c>
      <c r="M14" s="11" t="n"/>
      <c r="N14" s="11" t="inlineStr">
        <is>
          <t>Mutación: Esfera común de otra fila (fila 4). Esfera de (4,3): desapareció; puntaje 0 → 10 (+10); esferas restantes 105 → 104. (Fantasmas retirados y posiciones preparadas por script para aislar la condición.)</t>
        </is>
      </c>
      <c r="P14" s="4" t="inlineStr">
        <is>
          <t>Resultados del ciclo 2 (% sobre los casos ejecutados en el ciclo)</t>
        </is>
      </c>
      <c r="Q14" s="23" t="n"/>
      <c r="R14" s="23" t="n"/>
      <c r="S14" s="24" t="n"/>
    </row>
    <row r="15" ht="55.8" customHeight="1">
      <c r="A15" s="6" t="inlineStr">
        <is>
          <t>CP-012</t>
        </is>
      </c>
      <c r="B15" s="7" t="inlineStr">
        <is>
          <t>Regresión (V1, mutado)</t>
        </is>
      </c>
      <c r="C15" s="8" t="inlineStr">
        <is>
          <t>E1</t>
        </is>
      </c>
      <c r="D15" s="9" t="inlineStr">
        <is>
          <t>Alta</t>
        </is>
      </c>
      <c r="E15" s="7" t="inlineStr">
        <is>
          <t>Una esfera consumida no reaparece al perder una vida</t>
        </is>
      </c>
      <c r="F15" s="8" t="inlineStr">
        <is>
          <t>HU-03</t>
        </is>
      </c>
      <c r="G15" s="8" t="inlineStr">
        <is>
          <t>No</t>
        </is>
      </c>
      <c r="H15" s="8" t="inlineStr">
        <is>
          <t>Aprobado</t>
        </is>
      </c>
      <c r="I15" s="10" t="inlineStr">
        <is>
          <t>Aprobado</t>
        </is>
      </c>
      <c r="J15" s="8">
        <f>IF(OR(H15="—",I15="",I15="No ejecutado"),"—",IF(H15=I15,"No","Sí"))</f>
        <v/>
      </c>
      <c r="K15" s="11" t="inlineStr">
        <is>
          <t>Luzzi</t>
        </is>
      </c>
      <c r="L15" s="39" t="n">
        <v>46307</v>
      </c>
      <c r="M15" s="11" t="n"/>
      <c r="N15" s="11" t="inlineStr">
        <is>
          <t>Mutación: 15 esferas en lugar de 10, en la fila 10. Pacman consumió 14 esferas en la fila 10; tras perder una vida (3 → 2) la fila sigue despejada (15 de 15 celdas sin esfera). (Fantasmas retirados y posiciones preparadas por script para aislar la condición.)</t>
        </is>
      </c>
      <c r="P15" s="16" t="inlineStr">
        <is>
          <t>Estado</t>
        </is>
      </c>
      <c r="Q15" s="16" t="inlineStr">
        <is>
          <t>Casos</t>
        </is>
      </c>
      <c r="R15" s="16" t="inlineStr">
        <is>
          <t>%</t>
        </is>
      </c>
    </row>
    <row r="16" ht="42.59999999999999" customHeight="1">
      <c r="A16" s="6" t="inlineStr">
        <is>
          <t>CP-013</t>
        </is>
      </c>
      <c r="B16" s="7" t="inlineStr">
        <is>
          <t>Regresión (V1, Media/Baja)</t>
        </is>
      </c>
      <c r="C16" s="8" t="inlineStr">
        <is>
          <t>E1</t>
        </is>
      </c>
      <c r="D16" s="9" t="inlineStr">
        <is>
          <t>Media</t>
        </is>
      </c>
      <c r="E16" s="7" t="inlineStr">
        <is>
          <t>Los fantasmas no consumen esferas</t>
        </is>
      </c>
      <c r="F16" s="8" t="inlineStr">
        <is>
          <t>HU-03</t>
        </is>
      </c>
      <c r="G16" s="8" t="inlineStr">
        <is>
          <t>No</t>
        </is>
      </c>
      <c r="H16" s="8" t="inlineStr">
        <is>
          <t>Aprobado</t>
        </is>
      </c>
      <c r="I16" s="10" t="inlineStr">
        <is>
          <t>Aprobado</t>
        </is>
      </c>
      <c r="J16" s="8">
        <f>IF(OR(H16="—",I16="",I16="No ejecutado"),"—",IF(H16=I16,"No","Sí"))</f>
        <v/>
      </c>
      <c r="K16" s="11" t="inlineStr">
        <is>
          <t>Luzzi</t>
        </is>
      </c>
      <c r="L16" s="39" t="n">
        <v>46323</v>
      </c>
      <c r="M16" s="11" t="n"/>
      <c r="N16" s="11" t="inlineStr">
        <is>
          <t>30 s con Pacman quieto: los fantasmas pasaron por 48 celdas distintas; el contador siguió en 106 → 106 y las esferas del mapa no cambiaron. (Pacman detenido y vidas repuestas por script.)</t>
        </is>
      </c>
      <c r="P16" s="7" t="inlineStr">
        <is>
          <t>Aprobado</t>
        </is>
      </c>
      <c r="Q16" s="8">
        <f>COUNTIF($I$4:$I$132,"Aprobado")</f>
        <v/>
      </c>
      <c r="R16" s="41">
        <f>IFERROR(Q16/SUM($Q$16:$Q$18),0)</f>
        <v/>
      </c>
    </row>
    <row r="17" ht="55.8" customHeight="1">
      <c r="A17" s="6" t="inlineStr">
        <is>
          <t>CP-014</t>
        </is>
      </c>
      <c r="B17" s="7" t="inlineStr">
        <is>
          <t>Regresión (V1, mutado)</t>
        </is>
      </c>
      <c r="C17" s="8" t="inlineStr">
        <is>
          <t>E1</t>
        </is>
      </c>
      <c r="D17" s="9" t="inlineStr">
        <is>
          <t>Alta</t>
        </is>
      </c>
      <c r="E17" s="7" t="inlineStr">
        <is>
          <t>Finalización del nivel al consumir la última esfera</t>
        </is>
      </c>
      <c r="F17" s="8" t="inlineStr">
        <is>
          <t>HU-04</t>
        </is>
      </c>
      <c r="G17" s="8" t="inlineStr">
        <is>
          <t>Sí</t>
        </is>
      </c>
      <c r="H17" s="8" t="inlineStr">
        <is>
          <t>Aprobado</t>
        </is>
      </c>
      <c r="I17" s="10" t="inlineStr">
        <is>
          <t>Aprobado</t>
        </is>
      </c>
      <c r="J17" s="8">
        <f>IF(OR(H17="—",I17="",I17="No ejecutado"),"—",IF(H17=I17,"No","Sí"))</f>
        <v/>
      </c>
      <c r="K17" s="11" t="inlineStr">
        <is>
          <t>Luzzi</t>
        </is>
      </c>
      <c r="L17" s="39" t="n">
        <v>46307</v>
      </c>
      <c r="M17" s="11" t="n"/>
      <c r="N17" s="11" t="inlineStr">
        <is>
          <t>Mutación: La última esfera es una de la fila 13. Al consumir la última esfera (13,5) el nivel se completó, la partida se detuvo y se mostró «¡Nivel 1 completado!» con el puntaje. (Mapa reducido a una esfera por script.)</t>
        </is>
      </c>
      <c r="P17" s="7" t="inlineStr">
        <is>
          <t>Fallido</t>
        </is>
      </c>
      <c r="Q17" s="8">
        <f>COUNTIF($I$4:$I$132,"Fallido")</f>
        <v/>
      </c>
      <c r="R17" s="41">
        <f>IFERROR(Q17/SUM($Q$16:$Q$18),0)</f>
        <v/>
      </c>
    </row>
    <row r="18" ht="55.8" customHeight="1">
      <c r="A18" s="6" t="inlineStr">
        <is>
          <t>CP-015</t>
        </is>
      </c>
      <c r="B18" s="7" t="inlineStr">
        <is>
          <t>Regresión (V1, mutado)</t>
        </is>
      </c>
      <c r="C18" s="8" t="inlineStr">
        <is>
          <t>E1</t>
        </is>
      </c>
      <c r="D18" s="9" t="inlineStr">
        <is>
          <t>Alta</t>
        </is>
      </c>
      <c r="E18" s="7" t="inlineStr">
        <is>
          <t>El nivel no se completa si queda una esfera grande</t>
        </is>
      </c>
      <c r="F18" s="8" t="inlineStr">
        <is>
          <t>HU-04</t>
        </is>
      </c>
      <c r="G18" s="8" t="inlineStr">
        <is>
          <t>No</t>
        </is>
      </c>
      <c r="H18" s="8" t="inlineStr">
        <is>
          <t>Aprobado</t>
        </is>
      </c>
      <c r="I18" s="10" t="inlineStr">
        <is>
          <t>Aprobado</t>
        </is>
      </c>
      <c r="J18" s="8">
        <f>IF(OR(H18="—",I18="",I18="No ejecutado"),"—",IF(H18=I18,"No","Sí"))</f>
        <v/>
      </c>
      <c r="K18" s="11" t="inlineStr">
        <is>
          <t>Luzzi</t>
        </is>
      </c>
      <c r="L18" s="39" t="n">
        <v>46307</v>
      </c>
      <c r="M18" s="11" t="n"/>
      <c r="N18" s="11" t="inlineStr">
        <is>
          <t>Mutación: La esfera grande pendiente es la de (13,15) en lugar de la de (1,1). Con solo la esfera grande de (13,15) sin consumir, el nivel no se completó y quedan 1 esferas; la partida sigue. (Mapa preparado por script.)</t>
        </is>
      </c>
      <c r="P18" s="7" t="inlineStr">
        <is>
          <t>Bloqueado</t>
        </is>
      </c>
      <c r="Q18" s="8">
        <f>COUNTIF($I$4:$I$132,"Bloqueado")</f>
        <v/>
      </c>
      <c r="R18" s="41">
        <f>IFERROR(Q18/SUM($Q$16:$Q$18),0)</f>
        <v/>
      </c>
    </row>
    <row r="19" ht="42.59999999999999" customHeight="1">
      <c r="A19" s="6" t="inlineStr">
        <is>
          <t>CP-016</t>
        </is>
      </c>
      <c r="B19" s="7" t="inlineStr">
        <is>
          <t>Regresión (V1, mutado)</t>
        </is>
      </c>
      <c r="C19" s="8" t="inlineStr">
        <is>
          <t>E1</t>
        </is>
      </c>
      <c r="D19" s="9" t="inlineStr">
        <is>
          <t>Alta</t>
        </is>
      </c>
      <c r="E19" s="7" t="inlineStr">
        <is>
          <t>Paso al nivel siguiente conservando puntaje y vidas</t>
        </is>
      </c>
      <c r="F19" s="8" t="inlineStr">
        <is>
          <t>HU-04</t>
        </is>
      </c>
      <c r="G19" s="8" t="inlineStr">
        <is>
          <t>Sí</t>
        </is>
      </c>
      <c r="H19" s="8" t="inlineStr">
        <is>
          <t>Aprobado</t>
        </is>
      </c>
      <c r="I19" s="10" t="inlineStr">
        <is>
          <t>Aprobado</t>
        </is>
      </c>
      <c r="J19" s="8">
        <f>IF(OR(H19="—",I19="",I19="No ejecutado"),"—",IF(H19=I19,"No","Sí"))</f>
        <v/>
      </c>
      <c r="K19" s="11" t="inlineStr">
        <is>
          <t>Luzzi</t>
        </is>
      </c>
      <c r="L19" s="39" t="n">
        <v>46307</v>
      </c>
      <c r="M19" s="11" t="n"/>
      <c r="N19" s="11" t="inlineStr">
        <is>
          <t>Mutación: Se completa el nivel con 3 vidas en lugar de 2. Completado el nivel 1 con 3 vidas y 1200 puntos: empezó el nivel 2 con 1200 puntos y 3 vidas. (Mapa reducido por script.)</t>
        </is>
      </c>
      <c r="P19" s="18" t="inlineStr">
        <is>
          <t>Total</t>
        </is>
      </c>
      <c r="Q19" s="19">
        <f>SUM(Q16:Q18)</f>
        <v/>
      </c>
      <c r="R19" s="42">
        <f>SUM(R16:R18)</f>
        <v/>
      </c>
    </row>
    <row r="20" ht="69" customHeight="1">
      <c r="A20" s="6" t="inlineStr">
        <is>
          <t>CP-017</t>
        </is>
      </c>
      <c r="B20" s="7" t="inlineStr">
        <is>
          <t>Regresión (V1, mutado)</t>
        </is>
      </c>
      <c r="C20" s="8" t="inlineStr">
        <is>
          <t>E1</t>
        </is>
      </c>
      <c r="D20" s="9" t="inlineStr">
        <is>
          <t>Alta</t>
        </is>
      </c>
      <c r="E20" s="7" t="inlineStr">
        <is>
          <t>Victoria al completar el nivel 3</t>
        </is>
      </c>
      <c r="F20" s="8" t="inlineStr">
        <is>
          <t>HU-04</t>
        </is>
      </c>
      <c r="G20" s="8" t="inlineStr">
        <is>
          <t>Sí</t>
        </is>
      </c>
      <c r="H20" s="8" t="inlineStr">
        <is>
          <t>Aprobado</t>
        </is>
      </c>
      <c r="I20" s="10" t="inlineStr">
        <is>
          <t>Aprobado</t>
        </is>
      </c>
      <c r="J20" s="8">
        <f>IF(OR(H20="—",I20="",I20="No ejecutado"),"—",IF(H20=I20,"No","Sí"))</f>
        <v/>
      </c>
      <c r="K20" s="11" t="inlineStr">
        <is>
          <t>Luzzi</t>
        </is>
      </c>
      <c r="L20" s="39" t="n">
        <v>46307</v>
      </c>
      <c r="M20" s="11" t="n"/>
      <c r="N20" s="11" t="inlineStr">
        <is>
          <t>Mutación: Partida completa N1 → N2 → N3 con los fantasmas nuevos de la V2. Partida N1 → N2 → N3; en el nivel 3 los fantasmas fueron ['specter', 'jumper', 'naval', 'accelerated']; al consumir la última esfera se mostró «¡Nivel 3 completado!» y luego «¡Victoria!» con el puntaje final. (Mapas reducidos por script.)</t>
        </is>
      </c>
    </row>
    <row r="21" ht="55.8" customHeight="1">
      <c r="A21" s="6" t="inlineStr">
        <is>
          <t>CP-018</t>
        </is>
      </c>
      <c r="B21" s="7" t="inlineStr">
        <is>
          <t>Regresión (V1, mutado)</t>
        </is>
      </c>
      <c r="C21" s="8" t="inlineStr">
        <is>
          <t>E2</t>
        </is>
      </c>
      <c r="D21" s="9" t="inlineStr">
        <is>
          <t>Alta</t>
        </is>
      </c>
      <c r="E21" s="7" t="inlineStr">
        <is>
          <t>Activación automática del PowerUp</t>
        </is>
      </c>
      <c r="F21" s="8" t="inlineStr">
        <is>
          <t>HU-05</t>
        </is>
      </c>
      <c r="G21" s="8" t="inlineStr">
        <is>
          <t>Sí</t>
        </is>
      </c>
      <c r="H21" s="8" t="inlineStr">
        <is>
          <t>Aprobado</t>
        </is>
      </c>
      <c r="I21" s="10" t="inlineStr">
        <is>
          <t>Aprobado</t>
        </is>
      </c>
      <c r="J21" s="8">
        <f>IF(OR(H21="—",I21="",I21="No ejecutado"),"—",IF(H21=I21,"No","Sí"))</f>
        <v/>
      </c>
      <c r="K21" s="11" t="inlineStr">
        <is>
          <t>Luzzi</t>
        </is>
      </c>
      <c r="L21" s="39" t="n">
        <v>46307</v>
      </c>
      <c r="M21" s="11" t="n"/>
      <c r="N21" s="11" t="inlineStr">
        <is>
          <t>Mutación: Esfera grande de (13,1). Al pasar por (13,1) el PowerUp se activó solo; puntaje +50; los fantasmas cambiaron al diseño vulnerable y se alejaron (suma de distancias 48 → 76). (Fantasmas ubicados en el centro por script.)</t>
        </is>
      </c>
    </row>
    <row r="22" ht="55.8" customHeight="1">
      <c r="A22" s="6" t="inlineStr">
        <is>
          <t>CP-019</t>
        </is>
      </c>
      <c r="B22" s="7" t="inlineStr">
        <is>
          <t>Regresión (V1, mutado)</t>
        </is>
      </c>
      <c r="C22" s="8" t="inlineStr">
        <is>
          <t>E2</t>
        </is>
      </c>
      <c r="D22" s="9" t="inlineStr">
        <is>
          <t>Alta</t>
        </is>
      </c>
      <c r="E22" s="7" t="inlineStr">
        <is>
          <t>Duración del PowerUp</t>
        </is>
      </c>
      <c r="F22" s="8" t="inlineStr">
        <is>
          <t>HU-05</t>
        </is>
      </c>
      <c r="G22" s="8" t="inlineStr">
        <is>
          <t>No</t>
        </is>
      </c>
      <c r="H22" s="8" t="inlineStr">
        <is>
          <t>Aprobado</t>
        </is>
      </c>
      <c r="I22" s="10" t="inlineStr">
        <is>
          <t>Aprobado</t>
        </is>
      </c>
      <c r="J22" s="8">
        <f>IF(OR(H22="—",I22="",I22="No ejecutado"),"—",IF(H22=I22,"No","Sí"))</f>
        <v/>
      </c>
      <c r="K22" s="11" t="inlineStr">
        <is>
          <t>Luzzi</t>
        </is>
      </c>
      <c r="L22" s="39" t="n">
        <v>46307</v>
      </c>
      <c r="M22" s="11" t="n"/>
      <c r="N22" s="11" t="inlineStr">
        <is>
          <t>Mutación: Esfera grande de (1,15); observaciones a 7,5 s y 8,5 s. Esfera grande de (1,15): a los 7,5 s los fantasmas seguían vulnerables; a los 8,5 s recuperaron su diseño y volvieron a perseguir. Duración: 8 s.</t>
        </is>
      </c>
    </row>
    <row r="23" ht="55.8" customHeight="1">
      <c r="A23" s="6" t="inlineStr">
        <is>
          <t>CP-020</t>
        </is>
      </c>
      <c r="B23" s="7" t="inlineStr">
        <is>
          <t>Regresión (V1, mutado)</t>
        </is>
      </c>
      <c r="C23" s="8" t="inlineStr">
        <is>
          <t>E2</t>
        </is>
      </c>
      <c r="D23" s="9" t="inlineStr">
        <is>
          <t>Alta</t>
        </is>
      </c>
      <c r="E23" s="7" t="inlineStr">
        <is>
          <t>Los fantasmas huyen durante el PowerUp</t>
        </is>
      </c>
      <c r="F23" s="8" t="inlineStr">
        <is>
          <t>HU-05</t>
        </is>
      </c>
      <c r="G23" s="8" t="inlineStr">
        <is>
          <t>No</t>
        </is>
      </c>
      <c r="H23" s="8" t="inlineStr">
        <is>
          <t>Aprobado</t>
        </is>
      </c>
      <c r="I23" s="10" t="inlineStr">
        <is>
          <t>Aprobado</t>
        </is>
      </c>
      <c r="J23" s="8">
        <f>IF(OR(H23="—",I23="",I23="No ejecutado"),"—",IF(H23=I23,"No","Sí"))</f>
        <v/>
      </c>
      <c r="K23" s="11" t="inlineStr">
        <is>
          <t>Luzzi</t>
        </is>
      </c>
      <c r="L23" s="39" t="n">
        <v>46307</v>
      </c>
      <c r="M23" s="11" t="n"/>
      <c r="N23" s="11" t="inlineStr">
        <is>
          <t>Mutación: Fantasma perseguidor distinto (el rosa). El fantasma rosa venía hacia Pacman por la fila 4; al consumir la esfera grande dejó de acercarse y se alejó (distancia 2 → 7 celdas). (Fantasmas retirados y posiciones preparadas por script para aislar la condición.)</t>
        </is>
      </c>
    </row>
    <row r="24" ht="42.59999999999999" customHeight="1">
      <c r="A24" s="6" t="inlineStr">
        <is>
          <t>CP-021</t>
        </is>
      </c>
      <c r="B24" s="7" t="inlineStr">
        <is>
          <t>Regresión (V1, Media/Baja)</t>
        </is>
      </c>
      <c r="C24" s="8" t="inlineStr">
        <is>
          <t>E2</t>
        </is>
      </c>
      <c r="D24" s="9" t="inlineStr">
        <is>
          <t>Media</t>
        </is>
      </c>
      <c r="E24" s="7" t="inlineStr">
        <is>
          <t>Reinicio del temporizador por una segunda esfera grande</t>
        </is>
      </c>
      <c r="F24" s="8" t="inlineStr">
        <is>
          <t>HU-05</t>
        </is>
      </c>
      <c r="G24" s="8" t="inlineStr">
        <is>
          <t>No</t>
        </is>
      </c>
      <c r="H24" s="8" t="inlineStr">
        <is>
          <t>Aprobado</t>
        </is>
      </c>
      <c r="I24" s="10" t="inlineStr">
        <is>
          <t>Aprobado</t>
        </is>
      </c>
      <c r="J24" s="8">
        <f>IF(OR(H24="—",I24="",I24="No ejecutado"),"—",IF(H24=I24,"No","Sí"))</f>
        <v/>
      </c>
      <c r="K24" s="11" t="inlineStr">
        <is>
          <t>Luzzi</t>
        </is>
      </c>
      <c r="L24" s="39" t="n">
        <v>46323</v>
      </c>
      <c r="M24" s="11" t="n"/>
      <c r="N24" s="11" t="inlineStr">
        <is>
          <t>Primera esfera grande (13,1) y, a los 5 s, la segunda (1,1): el PowerUp siguió activo a los 7,8 s del segundo consumo y terminó antes de los 8,2 s (8 s completos, no 3). (Fantasmas retirados y posiciones preparadas por script para aislar la condición.)</t>
        </is>
      </c>
    </row>
    <row r="25" ht="42.59999999999999" customHeight="1">
      <c r="A25" s="6" t="inlineStr">
        <is>
          <t>CP-022</t>
        </is>
      </c>
      <c r="B25" s="7" t="inlineStr">
        <is>
          <t>Regresión (V1, Media/Baja)</t>
        </is>
      </c>
      <c r="C25" s="8" t="inlineStr">
        <is>
          <t>E2</t>
        </is>
      </c>
      <c r="D25" s="9" t="inlineStr">
        <is>
          <t>Media</t>
        </is>
      </c>
      <c r="E25" s="7" t="inlineStr">
        <is>
          <t>Reinicio de la escala de puntos por una segunda esfera grande</t>
        </is>
      </c>
      <c r="F25" s="8" t="inlineStr">
        <is>
          <t>HU-05</t>
        </is>
      </c>
      <c r="G25" s="8" t="inlineStr">
        <is>
          <t>No</t>
        </is>
      </c>
      <c r="H25" s="8" t="inlineStr">
        <is>
          <t>Aprobado</t>
        </is>
      </c>
      <c r="I25" s="10" t="inlineStr">
        <is>
          <t>Aprobado</t>
        </is>
      </c>
      <c r="J25" s="8">
        <f>IF(OR(H25="—",I25="",I25="No ejecutado"),"—",IF(H25=I25,"No","Sí"))</f>
        <v/>
      </c>
      <c r="K25" s="11" t="inlineStr">
        <is>
          <t>Luzzi</t>
        </is>
      </c>
      <c r="L25" s="39" t="n">
        <v>46323</v>
      </c>
      <c r="M25" s="11" t="n"/>
      <c r="N25" s="11" t="inlineStr">
        <is>
          <t>Fantasma comido con la primera esfera grande: +200; tras la segunda esfera grande (PowerUp activo), el siguiente fantasma sumó +200: la escala se reinició. (Fantasmas retirados y posiciones preparadas por script para aislar la condición.)</t>
        </is>
      </c>
    </row>
    <row r="26" ht="55.8" customHeight="1">
      <c r="A26" s="6" t="inlineStr">
        <is>
          <t>CP-023</t>
        </is>
      </c>
      <c r="B26" s="7" t="inlineStr">
        <is>
          <t>Regresión (V1, mutado)</t>
        </is>
      </c>
      <c r="C26" s="8" t="inlineStr">
        <is>
          <t>E2</t>
        </is>
      </c>
      <c r="D26" s="9" t="inlineStr">
        <is>
          <t>Alta</t>
        </is>
      </c>
      <c r="E26" s="7" t="inlineStr">
        <is>
          <t>Escala de puntos por fantasmas comidos</t>
        </is>
      </c>
      <c r="F26" s="8" t="inlineStr">
        <is>
          <t>HU-06</t>
        </is>
      </c>
      <c r="G26" s="8" t="inlineStr">
        <is>
          <t>Sí</t>
        </is>
      </c>
      <c r="H26" s="8" t="inlineStr">
        <is>
          <t>Aprobado</t>
        </is>
      </c>
      <c r="I26" s="10" t="inlineStr">
        <is>
          <t>Aprobado</t>
        </is>
      </c>
      <c r="J26" s="8">
        <f>IF(OR(H26="—",I26="",I26="No ejecutado"),"—",IF(H26=I26,"No","Sí"))</f>
        <v/>
      </c>
      <c r="K26" s="11" t="inlineStr">
        <is>
          <t>Luzzi</t>
        </is>
      </c>
      <c r="L26" s="39" t="n">
        <v>46307</v>
      </c>
      <c r="M26" s="11" t="n"/>
      <c r="N26" s="11" t="inlineStr">
        <is>
          <t>Mutación: Se usa la esfera grande de (13,15). Con la esfera grande de (13,15), los cuatro fantasmas comidos sumaron [200, 400, 800, 1600]. (Fantasmas retirados y posiciones preparadas por script para aislar la condición.)</t>
        </is>
      </c>
    </row>
    <row r="27" ht="55.8" customHeight="1">
      <c r="A27" s="6" t="inlineStr">
        <is>
          <t>CP-024</t>
        </is>
      </c>
      <c r="B27" s="7" t="inlineStr">
        <is>
          <t>Regresión (V1, mutado)</t>
        </is>
      </c>
      <c r="C27" s="8" t="inlineStr">
        <is>
          <t>E2</t>
        </is>
      </c>
      <c r="D27" s="9" t="inlineStr">
        <is>
          <t>Alta</t>
        </is>
      </c>
      <c r="E27" s="7" t="inlineStr">
        <is>
          <t>Reinicio de la escala al terminar el PowerUp</t>
        </is>
      </c>
      <c r="F27" s="8" t="inlineStr">
        <is>
          <t>HU-06</t>
        </is>
      </c>
      <c r="G27" s="8" t="inlineStr">
        <is>
          <t>No</t>
        </is>
      </c>
      <c r="H27" s="8" t="inlineStr">
        <is>
          <t>Aprobado</t>
        </is>
      </c>
      <c r="I27" s="10" t="inlineStr">
        <is>
          <t>Aprobado</t>
        </is>
      </c>
      <c r="J27" s="8">
        <f>IF(OR(H27="—",I27="",I27="No ejecutado"),"—",IF(H27=I27,"No","Sí"))</f>
        <v/>
      </c>
      <c r="K27" s="11" t="inlineStr">
        <is>
          <t>Luzzi</t>
        </is>
      </c>
      <c r="L27" s="39" t="n">
        <v>46307</v>
      </c>
      <c r="M27" s="11" t="n"/>
      <c r="N27" s="11" t="inlineStr">
        <is>
          <t>Mutación: Segundo PowerUp con una esfera grande distinta. Primer PowerUp (13,15): fantasma +200; terminado el PowerUp, segundo PowerUp con la esfera de (1,1): fantasma +200. (Fantasmas retirados y posiciones preparadas por script para aislar la condición.)</t>
        </is>
      </c>
    </row>
    <row r="28" ht="42.59999999999999" customHeight="1">
      <c r="A28" s="6" t="inlineStr">
        <is>
          <t>CP-025</t>
        </is>
      </c>
      <c r="B28" s="7" t="inlineStr">
        <is>
          <t>Regresión (V1, mutado)</t>
        </is>
      </c>
      <c r="C28" s="8" t="inlineStr">
        <is>
          <t>E2</t>
        </is>
      </c>
      <c r="D28" s="9" t="inlineStr">
        <is>
          <t>Alta</t>
        </is>
      </c>
      <c r="E28" s="7" t="inlineStr">
        <is>
          <t>Comer un fantasma no descuenta vidas</t>
        </is>
      </c>
      <c r="F28" s="8" t="inlineStr">
        <is>
          <t>HU-06</t>
        </is>
      </c>
      <c r="G28" s="8" t="inlineStr">
        <is>
          <t>No</t>
        </is>
      </c>
      <c r="H28" s="8" t="inlineStr">
        <is>
          <t>Aprobado</t>
        </is>
      </c>
      <c r="I28" s="10" t="inlineStr">
        <is>
          <t>Aprobado</t>
        </is>
      </c>
      <c r="J28" s="8">
        <f>IF(OR(H28="—",I28="",I28="No ejecutado"),"—",IF(H28=I28,"No","Sí"))</f>
        <v/>
      </c>
      <c r="K28" s="11" t="inlineStr">
        <is>
          <t>Luzzi</t>
        </is>
      </c>
      <c r="L28" s="39" t="n">
        <v>46307</v>
      </c>
      <c r="M28" s="11" t="n"/>
      <c r="N28" s="11" t="inlineStr">
        <is>
          <t>Mutación: Con 2 vidas en lugar de 3. Con 2 vidas y PowerUp activo, el fantasma tocado desapareció; vidas 2 → 2; el nivel no se reinició (Pacman siguió en la fila 4). (Vidas fijadas en 2 por script.)</t>
        </is>
      </c>
    </row>
    <row r="29" ht="42.59999999999999" customHeight="1">
      <c r="A29" s="6" t="inlineStr">
        <is>
          <t>CP-026</t>
        </is>
      </c>
      <c r="B29" s="7" t="inlineStr">
        <is>
          <t>Regresión (V1, Media/Baja)</t>
        </is>
      </c>
      <c r="C29" s="8" t="inlineStr">
        <is>
          <t>E2</t>
        </is>
      </c>
      <c r="D29" s="9" t="inlineStr">
        <is>
          <t>Media</t>
        </is>
      </c>
      <c r="E29" s="7" t="inlineStr">
        <is>
          <t>Reaparición del fantasma comido</t>
        </is>
      </c>
      <c r="F29" s="8" t="inlineStr">
        <is>
          <t>HU-06</t>
        </is>
      </c>
      <c r="G29" s="8" t="inlineStr">
        <is>
          <t>No</t>
        </is>
      </c>
      <c r="H29" s="8" t="inlineStr">
        <is>
          <t>Aprobado</t>
        </is>
      </c>
      <c r="I29" s="10" t="inlineStr">
        <is>
          <t>Aprobado</t>
        </is>
      </c>
      <c r="J29" s="8">
        <f>IF(OR(H29="—",I29="",I29="No ejecutado"),"—",IF(H29=I29,"No","Sí"))</f>
        <v/>
      </c>
      <c r="K29" s="11" t="inlineStr">
        <is>
          <t>Luzzi</t>
        </is>
      </c>
      <c r="L29" s="39" t="n">
        <v>46323</v>
      </c>
      <c r="M29" s="11" t="n"/>
      <c r="N29" s="11" t="inlineStr">
        <is>
          <t>El fantasma rojo comido desapareció y reapareció a los 5.00 s en su punto de reaparición (1, 1); luego siguió moviéndose. (PowerUp prolongado por script para observar la reaparición.)</t>
        </is>
      </c>
    </row>
    <row r="30" ht="42.59999999999999" customHeight="1">
      <c r="A30" s="6" t="inlineStr">
        <is>
          <t>CP-027</t>
        </is>
      </c>
      <c r="B30" s="7" t="inlineStr">
        <is>
          <t>Regresión (V1, Media/Baja)</t>
        </is>
      </c>
      <c r="C30" s="8" t="inlineStr">
        <is>
          <t>E2</t>
        </is>
      </c>
      <c r="D30" s="9" t="inlineStr">
        <is>
          <t>Media</t>
        </is>
      </c>
      <c r="E30" s="7" t="inlineStr">
        <is>
          <t>Fantasma que reaparece con el PowerUp aún activo</t>
        </is>
      </c>
      <c r="F30" s="8" t="inlineStr">
        <is>
          <t>HU-06</t>
        </is>
      </c>
      <c r="G30" s="8" t="inlineStr">
        <is>
          <t>No</t>
        </is>
      </c>
      <c r="H30" s="8" t="inlineStr">
        <is>
          <t>Aprobado</t>
        </is>
      </c>
      <c r="I30" s="10" t="inlineStr">
        <is>
          <t>Aprobado</t>
        </is>
      </c>
      <c r="J30" s="8">
        <f>IF(OR(H30="—",I30="",I30="No ejecutado"),"—",IF(H30=I30,"No","Sí"))</f>
        <v/>
      </c>
      <c r="K30" s="11" t="inlineStr">
        <is>
          <t>Luzzi</t>
        </is>
      </c>
      <c r="L30" s="39" t="n">
        <v>46323</v>
      </c>
      <c r="M30" s="11" t="n"/>
      <c r="N30" s="11" t="inlineStr">
        <is>
          <t>Primer bocado +200; el fantasma reapareció a los 5.03 s con el PowerUp activo y en estado vulnerable; comido otra vez sumó +400: la escala siguió. (Fantasmas retirados y posiciones preparadas por script para aislar la condición.)</t>
        </is>
      </c>
    </row>
    <row r="31" ht="42.59999999999999" customHeight="1">
      <c r="A31" s="6" t="inlineStr">
        <is>
          <t>CP-028</t>
        </is>
      </c>
      <c r="B31" s="7" t="inlineStr">
        <is>
          <t>Regresión (V1, Media/Baja)</t>
        </is>
      </c>
      <c r="C31" s="8" t="inlineStr">
        <is>
          <t>E2</t>
        </is>
      </c>
      <c r="D31" s="9" t="inlineStr">
        <is>
          <t>Media</t>
        </is>
      </c>
      <c r="E31" s="7" t="inlineStr">
        <is>
          <t>Parpadeo en los últimos 2 segundos del PowerUp</t>
        </is>
      </c>
      <c r="F31" s="8" t="inlineStr">
        <is>
          <t>HU-07</t>
        </is>
      </c>
      <c r="G31" s="8" t="inlineStr">
        <is>
          <t>No</t>
        </is>
      </c>
      <c r="H31" s="8" t="inlineStr">
        <is>
          <t>Aprobado</t>
        </is>
      </c>
      <c r="I31" s="10" t="inlineStr">
        <is>
          <t>Aprobado</t>
        </is>
      </c>
      <c r="J31" s="8">
        <f>IF(OR(H31="—",I31="",I31="No ejecutado"),"—",IF(H31=I31,"No","Sí"))</f>
        <v/>
      </c>
      <c r="K31" s="11" t="inlineStr">
        <is>
          <t>Luzzi</t>
        </is>
      </c>
      <c r="L31" s="39" t="n">
        <v>46323</v>
      </c>
      <c r="M31" s="11" t="n"/>
      <c r="N31" s="11" t="inlineStr">
        <is>
          <t>A los 5 s los fantasmas se veían azules fijos (colores muestreados: ['azul']); a los 7 s alternaban azul y blanco (parpadeo, colores: ['azul', 'blanco']), distinto del azul fijo y del color normal. (Capturas CP-028-5s y CP-028-7s; colores leídos del canvas.)</t>
        </is>
      </c>
    </row>
    <row r="32" ht="42.59999999999999" customHeight="1">
      <c r="A32" s="6" t="inlineStr">
        <is>
          <t>CP-029</t>
        </is>
      </c>
      <c r="B32" s="7" t="inlineStr">
        <is>
          <t>Regresión (V1, Media/Baja)</t>
        </is>
      </c>
      <c r="C32" s="8" t="inlineStr">
        <is>
          <t>E2</t>
        </is>
      </c>
      <c r="D32" s="9" t="inlineStr">
        <is>
          <t>Media</t>
        </is>
      </c>
      <c r="E32" s="7" t="inlineStr">
        <is>
          <t>Esfera grande consumida durante el parpadeo</t>
        </is>
      </c>
      <c r="F32" s="8" t="inlineStr">
        <is>
          <t>HU-07</t>
        </is>
      </c>
      <c r="G32" s="8" t="inlineStr">
        <is>
          <t>No</t>
        </is>
      </c>
      <c r="H32" s="8" t="inlineStr">
        <is>
          <t>Aprobado</t>
        </is>
      </c>
      <c r="I32" s="10" t="inlineStr">
        <is>
          <t>Aprobado</t>
        </is>
      </c>
      <c r="J32" s="8">
        <f>IF(OR(H32="—",I32="",I32="No ejecutado"),"—",IF(H32=I32,"No","Sí"))</f>
        <v/>
      </c>
      <c r="K32" s="11" t="inlineStr">
        <is>
          <t>Luzzi</t>
        </is>
      </c>
      <c r="L32" s="39" t="n">
        <v>46323</v>
      </c>
      <c r="M32" s="11" t="n"/>
      <c r="N32" s="11" t="inlineStr">
        <is>
          <t>Al empezar el parpadeo se consumió la segunda esfera grande: el parpadeo cesó (colores después: ['azul']), el temporizador volvió a 7.97 s y el PowerUp seguía activo a los 7,8 s. (Fantasmas retirados y posiciones preparadas por script para aislar la condición.)</t>
        </is>
      </c>
    </row>
    <row r="33" ht="69" customHeight="1">
      <c r="A33" s="6" t="inlineStr">
        <is>
          <t>CP-030</t>
        </is>
      </c>
      <c r="B33" s="7" t="inlineStr">
        <is>
          <t>Regresión (V1, mutado)</t>
        </is>
      </c>
      <c r="C33" s="8" t="inlineStr">
        <is>
          <t>E2</t>
        </is>
      </c>
      <c r="D33" s="9" t="inlineStr">
        <is>
          <t>Alta</t>
        </is>
      </c>
      <c r="E33" s="7" t="inlineStr">
        <is>
          <t>Descuento de una vida por contacto con un fantasma</t>
        </is>
      </c>
      <c r="F33" s="8" t="inlineStr">
        <is>
          <t>HU-08</t>
        </is>
      </c>
      <c r="G33" s="8" t="inlineStr">
        <is>
          <t>Sí</t>
        </is>
      </c>
      <c r="H33" s="8" t="inlineStr">
        <is>
          <t>Aprobado</t>
        </is>
      </c>
      <c r="I33" s="10" t="inlineStr">
        <is>
          <t>Aprobado</t>
        </is>
      </c>
      <c r="J33" s="8">
        <f>IF(OR(H33="—",I33="",I33="No ejecutado"),"—",IF(H33=I33,"No","Sí"))</f>
        <v/>
      </c>
      <c r="K33" s="11" t="inlineStr">
        <is>
          <t>Luzzi</t>
        </is>
      </c>
      <c r="L33" s="39" t="n">
        <v>46307</v>
      </c>
      <c r="M33" s="11" t="n"/>
      <c r="N33" s="11" t="inlineStr">
        <is>
          <t>Mutación: Con 2 vidas en lugar de 3, contacto con el fantasma celeste. Con 2 vidas, el contacto con el fantasma celeste dejó las vidas en 1; puntaje 10 → 10; Pacman volvió a (7,8) y los fantasmas a sus posiciones iniciales [[1, 1], [1, 15], [13, 1], [13, 15]]. (Vidas fijadas en 2 por script.)</t>
        </is>
      </c>
    </row>
    <row r="34" ht="55.8" customHeight="1">
      <c r="A34" s="6" t="inlineStr">
        <is>
          <t>CP-031</t>
        </is>
      </c>
      <c r="B34" s="7" t="inlineStr">
        <is>
          <t>Regresión (V1, mutado)</t>
        </is>
      </c>
      <c r="C34" s="8" t="inlineStr">
        <is>
          <t>E2</t>
        </is>
      </c>
      <c r="D34" s="9" t="inlineStr">
        <is>
          <t>Alta</t>
        </is>
      </c>
      <c r="E34" s="7" t="inlineStr">
        <is>
          <t>Un solo contacto no descuenta más de una vida</t>
        </is>
      </c>
      <c r="F34" s="8" t="inlineStr">
        <is>
          <t>HU-08</t>
        </is>
      </c>
      <c r="G34" s="8" t="inlineStr">
        <is>
          <t>No</t>
        </is>
      </c>
      <c r="H34" s="8" t="inlineStr">
        <is>
          <t>Aprobado</t>
        </is>
      </c>
      <c r="I34" s="10" t="inlineStr">
        <is>
          <t>Aprobado</t>
        </is>
      </c>
      <c r="J34" s="8">
        <f>IF(OR(H34="—",I34="",I34="No ejecutado"),"—",IF(H34=I34,"No","Sí"))</f>
        <v/>
      </c>
      <c r="K34" s="11" t="inlineStr">
        <is>
          <t>Luzzi</t>
        </is>
      </c>
      <c r="L34" s="39" t="n">
        <v>46307</v>
      </c>
      <c r="M34" s="11" t="n"/>
      <c r="N34" s="11" t="inlineStr">
        <is>
          <t>Mutación: Contacto de frente en sentido vertical (columna 1). Contacto de frente en la columna 1 (Pacman subiendo, fantasma bajando): se descontó una sola vida (3 → 2). (Fantasmas retirados y posiciones preparadas por script para aislar la condición.)</t>
        </is>
      </c>
    </row>
    <row r="35" ht="69" customHeight="1">
      <c r="A35" s="6" t="inlineStr">
        <is>
          <t>CP-032</t>
        </is>
      </c>
      <c r="B35" s="7" t="inlineStr">
        <is>
          <t>Re-ejecución (Bloqueado en E1)</t>
        </is>
      </c>
      <c r="C35" s="8" t="inlineStr">
        <is>
          <t>E2</t>
        </is>
      </c>
      <c r="D35" s="9" t="inlineStr">
        <is>
          <t>Media</t>
        </is>
      </c>
      <c r="E35" s="7" t="inlineStr">
        <is>
          <t>El PowerUp se cancela al perder una vida</t>
        </is>
      </c>
      <c r="F35" s="8" t="inlineStr">
        <is>
          <t>HU-08</t>
        </is>
      </c>
      <c r="G35" s="8" t="inlineStr">
        <is>
          <t>No</t>
        </is>
      </c>
      <c r="H35" s="8" t="inlineStr">
        <is>
          <t>Bloqueado</t>
        </is>
      </c>
      <c r="I35" s="10" t="inlineStr">
        <is>
          <t>Bloqueado</t>
        </is>
      </c>
      <c r="J35" s="8">
        <f>IF(OR(H35="—",I35="",I35="No ejecutado"),"—",IF(H35=I35,"No","Sí"))</f>
        <v/>
      </c>
      <c r="K35" s="11" t="inlineStr">
        <is>
          <t>Luzzi</t>
        </is>
      </c>
      <c r="L35" s="39" t="n">
        <v>46307</v>
      </c>
      <c r="M35" s="11" t="n"/>
      <c r="N35" s="11" t="inlineStr">
        <is>
          <t>Sigue Bloqueado. La precondición no se puede dar en el juego: un fantasma que reaparece con el PowerUp activo reaparece vulnerable (lo verifica CP-027) y ninguna otra situación (estado de gracia del espectro, frutas falsas, explosiones, dash) le hace perder una vida a Pacman con el PowerUp activo. Corrige el resultado del 12/10/2026, que se obtuvo forzando por script un fantasma no vulnerable durante el PowerUp, un estado que el juego no produce. Se propone que el equipo revise el criterio de la HU-08 y marque el caso como No aplica o lo reformule.</t>
        </is>
      </c>
    </row>
    <row r="36" ht="69" customHeight="1">
      <c r="A36" s="6" t="inlineStr">
        <is>
          <t>CP-033</t>
        </is>
      </c>
      <c r="B36" s="7" t="inlineStr">
        <is>
          <t>Regresión (V1, mutado)</t>
        </is>
      </c>
      <c r="C36" s="8" t="inlineStr">
        <is>
          <t>E2</t>
        </is>
      </c>
      <c r="D36" s="9" t="inlineStr">
        <is>
          <t>Alta</t>
        </is>
      </c>
      <c r="E36" s="7" t="inlineStr">
        <is>
          <t>Reanudación del nivel tras perder una vida</t>
        </is>
      </c>
      <c r="F36" s="8" t="inlineStr">
        <is>
          <t>HU-08</t>
        </is>
      </c>
      <c r="G36" s="8" t="inlineStr">
        <is>
          <t>No</t>
        </is>
      </c>
      <c r="H36" s="8" t="inlineStr">
        <is>
          <t>Aprobado</t>
        </is>
      </c>
      <c r="I36" s="10" t="inlineStr">
        <is>
          <t>Aprobado</t>
        </is>
      </c>
      <c r="J36" s="8">
        <f>IF(OR(H36="—",I36="",I36="No ejecutado"),"—",IF(H36=I36,"No","Sí"))</f>
        <v/>
      </c>
      <c r="K36" s="11" t="inlineStr">
        <is>
          <t>Luzzi</t>
        </is>
      </c>
      <c r="L36" s="39" t="n">
        <v>46307</v>
      </c>
      <c r="M36" s="11" t="n"/>
      <c r="N36" s="11" t="inlineStr">
        <is>
          <t>Mutación: Con 20 esferas consumidas. Con 20 esferas consumidas se perdió una vida: siguió el nivel 1, puntaje 200 → 200, las esferas consumidas siguen ausentes y los personajes volvieron a sus posiciones iniciales. (Fantasmas retirados y posiciones preparadas por script para aislar la condición.)</t>
        </is>
      </c>
    </row>
    <row r="37" ht="42.59999999999999" customHeight="1">
      <c r="A37" s="6" t="inlineStr">
        <is>
          <t>CP-034</t>
        </is>
      </c>
      <c r="B37" s="7" t="inlineStr">
        <is>
          <t>Confirmación DEF-001</t>
        </is>
      </c>
      <c r="C37" s="8" t="inlineStr">
        <is>
          <t>E3</t>
        </is>
      </c>
      <c r="D37" s="9" t="inlineStr">
        <is>
          <t>Media</t>
        </is>
      </c>
      <c r="E37" s="7" t="inlineStr">
        <is>
          <t>Presentación del contador de vidas</t>
        </is>
      </c>
      <c r="F37" s="8" t="inlineStr">
        <is>
          <t>HU-09</t>
        </is>
      </c>
      <c r="G37" s="8" t="inlineStr">
        <is>
          <t>No</t>
        </is>
      </c>
      <c r="H37" s="8" t="inlineStr">
        <is>
          <t>Fallido</t>
        </is>
      </c>
      <c r="I37" s="10" t="inlineStr">
        <is>
          <t>Aprobado</t>
        </is>
      </c>
      <c r="J37" s="8">
        <f>IF(OR(H37="—",I37="",I37="No ejecutado"),"—",IF(H37=I37,"No","Sí"))</f>
        <v/>
      </c>
      <c r="K37" s="11" t="inlineStr">
        <is>
          <t>Luzzi</t>
        </is>
      </c>
      <c r="L37" s="39" t="n">
        <v>46307</v>
      </c>
      <c r="M37" s="11" t="inlineStr">
        <is>
          <t>DEF-001</t>
        </is>
      </c>
      <c r="N37" s="11" t="inlineStr">
        <is>
          <t>Las vidas se muestran abajo a la izquierda, debajo del mapa, como 3 íconos de Pacman (sin número); al perder una vida quedan 2. CP-034: Fallido en Entrega 1 → Aprobado.</t>
        </is>
      </c>
      <c r="P37" s="4" t="inlineStr">
        <is>
          <t>Comparación de resultados por entrega (%)</t>
        </is>
      </c>
      <c r="Q37" s="23" t="n"/>
      <c r="R37" s="23" t="n"/>
      <c r="S37" s="24" t="n"/>
    </row>
    <row r="38" ht="42.59999999999999" customHeight="1">
      <c r="A38" s="6" t="inlineStr">
        <is>
          <t>CP-035</t>
        </is>
      </c>
      <c r="B38" s="7" t="inlineStr">
        <is>
          <t>Regresión (V1, Media/Baja)</t>
        </is>
      </c>
      <c r="C38" s="8" t="inlineStr">
        <is>
          <t>E3</t>
        </is>
      </c>
      <c r="D38" s="9" t="inlineStr">
        <is>
          <t>Media</t>
        </is>
      </c>
      <c r="E38" s="7" t="inlineStr">
        <is>
          <t>Actualización inmediata del contador de vidas</t>
        </is>
      </c>
      <c r="F38" s="8" t="inlineStr">
        <is>
          <t>HU-09</t>
        </is>
      </c>
      <c r="G38" s="8" t="inlineStr">
        <is>
          <t>No</t>
        </is>
      </c>
      <c r="H38" s="8" t="inlineStr">
        <is>
          <t>Aprobado</t>
        </is>
      </c>
      <c r="I38" s="10" t="inlineStr">
        <is>
          <t>Aprobado</t>
        </is>
      </c>
      <c r="J38" s="8">
        <f>IF(OR(H38="—",I38="",I38="No ejecutado"),"—",IF(H38=I38,"No","Sí"))</f>
        <v/>
      </c>
      <c r="K38" s="11" t="inlineStr">
        <is>
          <t>Luzzi</t>
        </is>
      </c>
      <c r="L38" s="39" t="n">
        <v>46323</v>
      </c>
      <c r="M38" s="11" t="n"/>
      <c r="N38" s="11" t="inlineStr">
        <is>
          <t>Íconos de vidas tras cada pérdida: 3 → 2 → 1 → 0; el contador se actualizó en el momento de cada pérdida (la tercera terminó en Game Over). (Fantasmas retirados y posiciones preparadas por script para aislar la condición.)</t>
        </is>
      </c>
      <c r="P38" s="16" t="inlineStr">
        <is>
          <t>Estado</t>
        </is>
      </c>
      <c r="Q38" s="16" t="inlineStr">
        <is>
          <t>Entrega 1 (V1)</t>
        </is>
      </c>
      <c r="R38" s="16" t="inlineStr">
        <is>
          <t>Entrega 2 (V2)</t>
        </is>
      </c>
      <c r="S38" s="16" t="inlineStr">
        <is>
          <t>Casos E1 / E2</t>
        </is>
      </c>
    </row>
    <row r="39" ht="55.8" customHeight="1">
      <c r="A39" s="6" t="inlineStr">
        <is>
          <t>CP-036</t>
        </is>
      </c>
      <c r="B39" s="7" t="inlineStr">
        <is>
          <t>Regresión (V1, mutado)</t>
        </is>
      </c>
      <c r="C39" s="8" t="inlineStr">
        <is>
          <t>E3</t>
        </is>
      </c>
      <c r="D39" s="9" t="inlineStr">
        <is>
          <t>Alta</t>
        </is>
      </c>
      <c r="E39" s="7" t="inlineStr">
        <is>
          <t>Game Over al perder la tercera vida</t>
        </is>
      </c>
      <c r="F39" s="8" t="inlineStr">
        <is>
          <t>HU-10</t>
        </is>
      </c>
      <c r="G39" s="8" t="inlineStr">
        <is>
          <t>Sí</t>
        </is>
      </c>
      <c r="H39" s="8" t="inlineStr">
        <is>
          <t>Aprobado</t>
        </is>
      </c>
      <c r="I39" s="10" t="inlineStr">
        <is>
          <t>Aprobado</t>
        </is>
      </c>
      <c r="J39" s="8">
        <f>IF(OR(H39="—",I39="",I39="No ejecutado"),"—",IF(H39=I39,"No","Sí"))</f>
        <v/>
      </c>
      <c r="K39" s="11" t="inlineStr">
        <is>
          <t>Luzzi</t>
        </is>
      </c>
      <c r="L39" s="39" t="n">
        <v>46307</v>
      </c>
      <c r="M39" s="11" t="n"/>
      <c r="N39" s="11" t="inlineStr">
        <is>
          <t>Mutación: Última vida perdida en el nivel 2. Última vida perdida en el nivel 2: se mostró «Game Over» con el puntaje final (0); 5 s después la partida seguía terminada, sin reiniciarse ni reanudarse. (Vidas fijadas en 1 por script.)</t>
        </is>
      </c>
      <c r="P39" s="7" t="inlineStr">
        <is>
          <t>Aprobado</t>
        </is>
      </c>
      <c r="Q39" s="41" t="n">
        <v>0.9696969696969697</v>
      </c>
      <c r="R39" s="41">
        <f>R16</f>
        <v/>
      </c>
      <c r="S39" s="8">
        <f>"64 / "&amp;Q16</f>
        <v/>
      </c>
    </row>
    <row r="40" ht="42.59999999999999" customHeight="1">
      <c r="A40" s="6" t="inlineStr">
        <is>
          <t>CP-037</t>
        </is>
      </c>
      <c r="B40" s="7" t="inlineStr">
        <is>
          <t>Regresión (V1, Media/Baja)</t>
        </is>
      </c>
      <c r="C40" s="8" t="inlineStr">
        <is>
          <t>E3</t>
        </is>
      </c>
      <c r="D40" s="9" t="inlineStr">
        <is>
          <t>Media</t>
        </is>
      </c>
      <c r="E40" s="7" t="inlineStr">
        <is>
          <t>Game Over en un nivel distinto del primero</t>
        </is>
      </c>
      <c r="F40" s="8" t="inlineStr">
        <is>
          <t>HU-10</t>
        </is>
      </c>
      <c r="G40" s="8" t="inlineStr">
        <is>
          <t>No</t>
        </is>
      </c>
      <c r="H40" s="8" t="inlineStr">
        <is>
          <t>Aprobado</t>
        </is>
      </c>
      <c r="I40" s="10" t="inlineStr">
        <is>
          <t>Aprobado</t>
        </is>
      </c>
      <c r="J40" s="8">
        <f>IF(OR(H40="—",I40="",I40="No ejecutado"),"—",IF(H40=I40,"No","Sí"))</f>
        <v/>
      </c>
      <c r="K40" s="11" t="inlineStr">
        <is>
          <t>Luzzi</t>
        </is>
      </c>
      <c r="L40" s="39" t="n">
        <v>46323</v>
      </c>
      <c r="M40" s="11" t="n"/>
      <c r="N40" s="11" t="inlineStr">
        <is>
          <t>Última vida perdida en el nivel 3: pantalla «Game Over» con el puntaje final y «Volver a jugar», igual que en el nivel 1; la partida no se reanudó. (Vidas fijadas en 1 por script.)</t>
        </is>
      </c>
      <c r="P40" s="7" t="inlineStr">
        <is>
          <t>Fallido</t>
        </is>
      </c>
      <c r="Q40" s="41" t="n">
        <v>0.01515151515151515</v>
      </c>
      <c r="R40" s="41">
        <f>R17</f>
        <v/>
      </c>
      <c r="S40" s="8">
        <f>"1 / "&amp;Q17</f>
        <v/>
      </c>
    </row>
    <row r="41" ht="42.59999999999999" customHeight="1">
      <c r="A41" s="6" t="inlineStr">
        <is>
          <t>CP-038</t>
        </is>
      </c>
      <c r="B41" s="7" t="inlineStr">
        <is>
          <t>Regresión (V1, Media/Baja)</t>
        </is>
      </c>
      <c r="C41" s="8" t="inlineStr">
        <is>
          <t>E3</t>
        </is>
      </c>
      <c r="D41" s="9" t="inlineStr">
        <is>
          <t>Media</t>
        </is>
      </c>
      <c r="E41" s="7" t="inlineStr">
        <is>
          <t>Puntaje visible y actualizado en el HUD</t>
        </is>
      </c>
      <c r="F41" s="8" t="inlineStr">
        <is>
          <t>HU-11</t>
        </is>
      </c>
      <c r="G41" s="8" t="inlineStr">
        <is>
          <t>Sí</t>
        </is>
      </c>
      <c r="H41" s="8" t="inlineStr">
        <is>
          <t>Aprobado</t>
        </is>
      </c>
      <c r="I41" s="10" t="inlineStr">
        <is>
          <t>Aprobado</t>
        </is>
      </c>
      <c r="J41" s="8">
        <f>IF(OR(H41="—",I41="",I41="No ejecutado"),"—",IF(H41=I41,"No","Sí"))</f>
        <v/>
      </c>
      <c r="K41" s="11" t="inlineStr">
        <is>
          <t>Luzzi</t>
        </is>
      </c>
      <c r="L41" s="39" t="n">
        <v>46323</v>
      </c>
      <c r="M41" s="11" t="n"/>
      <c r="N41" s="11" t="inlineStr">
        <is>
          <t>HUD: puntaje inicial 0; después de cada acción [10, 60, 260] (incrementos [10, 50, 200]: esfera común, esfera grande y fantasma). (Fantasmas retirados y posiciones preparadas por script para aislar la condición.)</t>
        </is>
      </c>
      <c r="P41" s="7" t="inlineStr">
        <is>
          <t>Bloqueado</t>
        </is>
      </c>
      <c r="Q41" s="41" t="n">
        <v>0.01515151515151515</v>
      </c>
      <c r="R41" s="41">
        <f>R18</f>
        <v/>
      </c>
      <c r="S41" s="8">
        <f>"1 / "&amp;Q18</f>
        <v/>
      </c>
    </row>
    <row r="42" ht="42.59999999999999" customHeight="1">
      <c r="A42" s="6" t="inlineStr">
        <is>
          <t>CP-039</t>
        </is>
      </c>
      <c r="B42" s="7" t="inlineStr">
        <is>
          <t>Regresión (V1, Media/Baja)</t>
        </is>
      </c>
      <c r="C42" s="8" t="inlineStr">
        <is>
          <t>E3</t>
        </is>
      </c>
      <c r="D42" s="9" t="inlineStr">
        <is>
          <t>Media</t>
        </is>
      </c>
      <c r="E42" s="7" t="inlineStr">
        <is>
          <t>El puntaje no disminuye ni se reinicia entre niveles</t>
        </is>
      </c>
      <c r="F42" s="8" t="inlineStr">
        <is>
          <t>HU-11</t>
        </is>
      </c>
      <c r="G42" s="8" t="inlineStr">
        <is>
          <t>No</t>
        </is>
      </c>
      <c r="H42" s="8" t="inlineStr">
        <is>
          <t>Aprobado</t>
        </is>
      </c>
      <c r="I42" s="10" t="inlineStr">
        <is>
          <t>Aprobado</t>
        </is>
      </c>
      <c r="J42" s="8">
        <f>IF(OR(H42="—",I42="",I42="No ejecutado"),"—",IF(H42=I42,"No","Sí"))</f>
        <v/>
      </c>
      <c r="K42" s="11" t="inlineStr">
        <is>
          <t>Luzzi</t>
        </is>
      </c>
      <c r="L42" s="39" t="n">
        <v>46323</v>
      </c>
      <c r="M42" s="11" t="n"/>
      <c r="N42" s="11" t="inlineStr">
        <is>
          <t>Puntaje 60; tras perder una vida: 60; al completar el nivel 1: 1240; al iniciar el nivel 2: 1240. Nunca disminuyó. (Mapa reducido por script para completar el nivel.)</t>
        </is>
      </c>
      <c r="P42" s="21" t="inlineStr">
        <is>
          <t>Fuente Entrega 1: reporte de ejecución de la Entrega 1 (66 casos: 64 aprobados, 1 fallido, 1 bloqueado).</t>
        </is>
      </c>
    </row>
    <row r="43" ht="42.59999999999999" customHeight="1">
      <c r="A43" s="6" t="inlineStr">
        <is>
          <t>CP-040</t>
        </is>
      </c>
      <c r="B43" s="7" t="inlineStr">
        <is>
          <t>Regresión (V1, Media/Baja)</t>
        </is>
      </c>
      <c r="C43" s="8" t="inlineStr">
        <is>
          <t>E3</t>
        </is>
      </c>
      <c r="D43" s="9" t="inlineStr">
        <is>
          <t>Media</t>
        </is>
      </c>
      <c r="E43" s="7" t="inlineStr">
        <is>
          <t>Consumo de una fruta</t>
        </is>
      </c>
      <c r="F43" s="8" t="inlineStr">
        <is>
          <t>HU-12</t>
        </is>
      </c>
      <c r="G43" s="8" t="inlineStr">
        <is>
          <t>Sí</t>
        </is>
      </c>
      <c r="H43" s="8" t="inlineStr">
        <is>
          <t>Aprobado</t>
        </is>
      </c>
      <c r="I43" s="10" t="inlineStr">
        <is>
          <t>Aprobado</t>
        </is>
      </c>
      <c r="J43" s="8">
        <f>IF(OR(H43="—",I43="",I43="No ejecutado"),"—",IF(H43=I43,"No","Sí"))</f>
        <v/>
      </c>
      <c r="K43" s="11" t="inlineStr">
        <is>
          <t>Luzzi</t>
        </is>
      </c>
      <c r="L43" s="39" t="n">
        <v>46323</v>
      </c>
      <c r="M43" s="11" t="n"/>
      <c r="N43" s="11" t="inlineStr">
        <is>
          <t>Fruta aparecida en (9,8) en el nivel 3: Pacman la consumió, desapareció del mapa, el puntaje subió +100 y el contador de esferas quedó en 124 → 124. (Esfera de la celda retirada por script para medir solo la fruta.)</t>
        </is>
      </c>
    </row>
    <row r="44" ht="42.59999999999999" customHeight="1">
      <c r="A44" s="6" t="inlineStr">
        <is>
          <t>CP-041</t>
        </is>
      </c>
      <c r="B44" s="7" t="inlineStr">
        <is>
          <t>Regresión (V1, Media/Baja)</t>
        </is>
      </c>
      <c r="C44" s="8" t="inlineStr">
        <is>
          <t>E3</t>
        </is>
      </c>
      <c r="D44" s="9" t="inlineStr">
        <is>
          <t>Baja</t>
        </is>
      </c>
      <c r="E44" s="7" t="inlineStr">
        <is>
          <t>Desaparición de una fruta no consumida</t>
        </is>
      </c>
      <c r="F44" s="8" t="inlineStr">
        <is>
          <t>HU-12</t>
        </is>
      </c>
      <c r="G44" s="8" t="inlineStr">
        <is>
          <t>No</t>
        </is>
      </c>
      <c r="H44" s="8" t="inlineStr">
        <is>
          <t>Aprobado</t>
        </is>
      </c>
      <c r="I44" s="10" t="inlineStr">
        <is>
          <t>Aprobado</t>
        </is>
      </c>
      <c r="J44" s="8">
        <f>IF(OR(H44="—",I44="",I44="No ejecutado"),"—",IF(H44=I44,"No","Sí"))</f>
        <v/>
      </c>
      <c r="K44" s="11" t="inlineStr">
        <is>
          <t>Luzzi</t>
        </is>
      </c>
      <c r="L44" s="39" t="n">
        <v>46323</v>
      </c>
      <c r="M44" s="11" t="n"/>
      <c r="N44" s="11" t="inlineStr">
        <is>
          <t>Fruta aparecida en (9,4): a los 14 s seguía en el mapa; a los 16 s ya no estaba.</t>
        </is>
      </c>
    </row>
    <row r="45" ht="42.59999999999999" customHeight="1">
      <c r="A45" s="6" t="inlineStr">
        <is>
          <t>CP-042</t>
        </is>
      </c>
      <c r="B45" s="7" t="inlineStr">
        <is>
          <t>Regresión (V1, Media/Baja)</t>
        </is>
      </c>
      <c r="C45" s="8" t="inlineStr">
        <is>
          <t>E3</t>
        </is>
      </c>
      <c r="D45" s="9" t="inlineStr">
        <is>
          <t>Media</t>
        </is>
      </c>
      <c r="E45" s="7" t="inlineStr">
        <is>
          <t>Cálculo del bonus por tiempo</t>
        </is>
      </c>
      <c r="F45" s="8" t="inlineStr">
        <is>
          <t>HU-13</t>
        </is>
      </c>
      <c r="G45" s="8" t="inlineStr">
        <is>
          <t>No</t>
        </is>
      </c>
      <c r="H45" s="8" t="inlineStr">
        <is>
          <t>Aprobado</t>
        </is>
      </c>
      <c r="I45" s="10" t="inlineStr">
        <is>
          <t>Aprobado</t>
        </is>
      </c>
      <c r="J45" s="8">
        <f>IF(OR(H45="—",I45="",I45="No ejecutado"),"—",IF(H45=I45,"No","Sí"))</f>
        <v/>
      </c>
      <c r="K45" s="11" t="inlineStr">
        <is>
          <t>Luzzi</t>
        </is>
      </c>
      <c r="L45" s="39" t="n">
        <v>46323</v>
      </c>
      <c r="M45" s="11" t="n"/>
      <c r="N45" s="11" t="inlineStr">
        <is>
          <t>Nivel 1 completado en 3.68 s: bonus por tiempo 1160 = 10 × 116 s enteros restantes (fracción descartada); el desglose lo suma. (Mapa reducido a una esfera por script.)</t>
        </is>
      </c>
    </row>
    <row r="46" ht="42.59999999999999" customHeight="1">
      <c r="A46" s="6" t="inlineStr">
        <is>
          <t>CP-043</t>
        </is>
      </c>
      <c r="B46" s="7" t="inlineStr">
        <is>
          <t>Regresión (V1, Media/Baja)</t>
        </is>
      </c>
      <c r="C46" s="8" t="inlineStr">
        <is>
          <t>E3</t>
        </is>
      </c>
      <c r="D46" s="9" t="inlineStr">
        <is>
          <t>Media</t>
        </is>
      </c>
      <c r="E46" s="7" t="inlineStr">
        <is>
          <t>Bonus por tiempo al exceder el tiempo objetivo</t>
        </is>
      </c>
      <c r="F46" s="8" t="inlineStr">
        <is>
          <t>HU-13</t>
        </is>
      </c>
      <c r="G46" s="8" t="inlineStr">
        <is>
          <t>No</t>
        </is>
      </c>
      <c r="H46" s="8" t="inlineStr">
        <is>
          <t>Aprobado</t>
        </is>
      </c>
      <c r="I46" s="10" t="inlineStr">
        <is>
          <t>Aprobado</t>
        </is>
      </c>
      <c r="J46" s="8">
        <f>IF(OR(H46="—",I46="",I46="No ejecutado"),"—",IF(H46=I46,"No","Sí"))</f>
        <v/>
      </c>
      <c r="K46" s="11" t="inlineStr">
        <is>
          <t>Luzzi</t>
        </is>
      </c>
      <c r="L46" s="39" t="n">
        <v>46323</v>
      </c>
      <c r="M46" s="11" t="n"/>
      <c r="N46" s="11" t="inlineStr">
        <is>
          <t>Nivel 1 completado a los 121.75 s (más de 120 s reales de juego): bonus por tiempo 0, no negativo. (Mapa reducido a una esfera por script al final.)</t>
        </is>
      </c>
    </row>
    <row r="47" ht="42.59999999999999" customHeight="1">
      <c r="A47" s="6" t="inlineStr">
        <is>
          <t>CP-044</t>
        </is>
      </c>
      <c r="B47" s="7" t="inlineStr">
        <is>
          <t>Regresión (V1, Media/Baja)</t>
        </is>
      </c>
      <c r="C47" s="8" t="inlineStr">
        <is>
          <t>E3</t>
        </is>
      </c>
      <c r="D47" s="9" t="inlineStr">
        <is>
          <t>Media</t>
        </is>
      </c>
      <c r="E47" s="7" t="inlineStr">
        <is>
          <t>Bonus por vidas restantes y consistencia del desglose</t>
        </is>
      </c>
      <c r="F47" s="8" t="inlineStr">
        <is>
          <t>HU-13</t>
        </is>
      </c>
      <c r="G47" s="8" t="inlineStr">
        <is>
          <t>No</t>
        </is>
      </c>
      <c r="H47" s="8" t="inlineStr">
        <is>
          <t>Aprobado</t>
        </is>
      </c>
      <c r="I47" s="10" t="inlineStr">
        <is>
          <t>Aprobado</t>
        </is>
      </c>
      <c r="J47" s="8">
        <f>IF(OR(H47="—",I47="",I47="No ejecutado"),"—",IF(H47=I47,"No","Sí"))</f>
        <v/>
      </c>
      <c r="K47" s="11" t="inlineStr">
        <is>
          <t>Luzzi</t>
        </is>
      </c>
      <c r="L47" s="39" t="n">
        <v>46323</v>
      </c>
      <c r="M47" s="11" t="n"/>
      <c r="N47" s="11" t="inlineStr">
        <is>
          <t>Victoria con 2 vidas: desglose {'Esferas': '30', 'Fantasmas comidos': '0', 'Frutas': '0', 'Bonus por tiempo': '4470', 'Bonus por vidas': '1000', 'Total': '5500'}; bonus por vidas 1000 (500 × 2) y la suma de los componentes coincide con el total. (Vidas fijadas en 2 y mapas reducidos por script.)</t>
        </is>
      </c>
    </row>
    <row r="48" ht="42.59999999999999" customHeight="1">
      <c r="A48" s="6" t="inlineStr">
        <is>
          <t>CP-045</t>
        </is>
      </c>
      <c r="B48" s="7" t="inlineStr">
        <is>
          <t>Regresión (V1, Media/Baja)</t>
        </is>
      </c>
      <c r="C48" s="8" t="inlineStr">
        <is>
          <t>E3</t>
        </is>
      </c>
      <c r="D48" s="9" t="inlineStr">
        <is>
          <t>Media</t>
        </is>
      </c>
      <c r="E48" s="7" t="inlineStr">
        <is>
          <t>Bonus por vidas en un Game Over</t>
        </is>
      </c>
      <c r="F48" s="8" t="inlineStr">
        <is>
          <t>HU-13</t>
        </is>
      </c>
      <c r="G48" s="8" t="inlineStr">
        <is>
          <t>No</t>
        </is>
      </c>
      <c r="H48" s="8" t="inlineStr">
        <is>
          <t>Aprobado</t>
        </is>
      </c>
      <c r="I48" s="10" t="inlineStr">
        <is>
          <t>Aprobado</t>
        </is>
      </c>
      <c r="J48" s="8">
        <f>IF(OR(H48="—",I48="",I48="No ejecutado"),"—",IF(H48=I48,"No","Sí"))</f>
        <v/>
      </c>
      <c r="K48" s="11" t="inlineStr">
        <is>
          <t>Luzzi</t>
        </is>
      </c>
      <c r="L48" s="39" t="n">
        <v>46323</v>
      </c>
      <c r="M48" s="11" t="n"/>
      <c r="N48" s="11" t="inlineStr">
        <is>
          <t>Game Over: desglose {'Esferas': '0', 'Fantasmas comidos': '0', 'Frutas': '0', 'Bonus por tiempo': '0', 'Bonus por vidas': '0', 'Total': '0'}; bonus por vidas restantes 0. (Vidas fijadas en 1 por script.)</t>
        </is>
      </c>
    </row>
    <row r="49" ht="42.59999999999999" customHeight="1">
      <c r="A49" s="6" t="inlineStr">
        <is>
          <t>CP-046</t>
        </is>
      </c>
      <c r="B49" s="7" t="inlineStr">
        <is>
          <t>Regresión (V1, Media/Baja)</t>
        </is>
      </c>
      <c r="C49" s="8" t="inlineStr">
        <is>
          <t>E3</t>
        </is>
      </c>
      <c r="D49" s="9" t="inlineStr">
        <is>
          <t>Baja</t>
        </is>
      </c>
      <c r="E49" s="7" t="inlineStr">
        <is>
          <t>Contador de esferas restantes</t>
        </is>
      </c>
      <c r="F49" s="8" t="inlineStr">
        <is>
          <t>HU-14</t>
        </is>
      </c>
      <c r="G49" s="8" t="inlineStr">
        <is>
          <t>No</t>
        </is>
      </c>
      <c r="H49" s="8" t="inlineStr">
        <is>
          <t>Aprobado</t>
        </is>
      </c>
      <c r="I49" s="10" t="inlineStr">
        <is>
          <t>Aprobado</t>
        </is>
      </c>
      <c r="J49" s="8">
        <f>IF(OR(H49="—",I49="",I49="No ejecutado"),"—",IF(H49=I49,"No","Sí"))</f>
        <v/>
      </c>
      <c r="K49" s="11" t="inlineStr">
        <is>
          <t>Luzzi</t>
        </is>
      </c>
      <c r="L49" s="39" t="n">
        <v>46323</v>
      </c>
      <c r="M49" s="11" t="n"/>
      <c r="N49" s="11" t="inlineStr">
        <is>
          <t>Inicio: contador 106 = 106 esferas del mapa (incluidas las 4 grandes); tras 5 esferas: 100 (−5); al consumir la última: 0; nivel 2: 131 = 131 esferas de su mapa. (Para la parte final, mapa del nivel 1 reducido a una esfera por script.)</t>
        </is>
      </c>
    </row>
    <row r="50" ht="95.39999999999999" customHeight="1">
      <c r="A50" s="6" t="inlineStr">
        <is>
          <t>CP-047</t>
        </is>
      </c>
      <c r="B50" s="7" t="inlineStr">
        <is>
          <t>Regresión (V1, mutado)</t>
        </is>
      </c>
      <c r="C50" s="8" t="inlineStr">
        <is>
          <t>E4</t>
        </is>
      </c>
      <c r="D50" s="9" t="inlineStr">
        <is>
          <t>Alta</t>
        </is>
      </c>
      <c r="E50" s="7" t="inlineStr">
        <is>
          <t>Los tres niveles y sus mapas</t>
        </is>
      </c>
      <c r="F50" s="8" t="inlineStr">
        <is>
          <t>HU-15</t>
        </is>
      </c>
      <c r="G50" s="8" t="inlineStr">
        <is>
          <t>Sí</t>
        </is>
      </c>
      <c r="H50" s="8" t="inlineStr">
        <is>
          <t>Aprobado</t>
        </is>
      </c>
      <c r="I50" s="10" t="inlineStr">
        <is>
          <t>Aprobado</t>
        </is>
      </c>
      <c r="J50" s="8">
        <f>IF(OR(H50="—",I50="",I50="No ejecutado"),"—",IF(H50=I50,"No","Sí"))</f>
        <v/>
      </c>
      <c r="K50" s="11" t="inlineStr">
        <is>
          <t>Luzzi</t>
        </is>
      </c>
      <c r="L50" s="39" t="n">
        <v>46307</v>
      </c>
      <c r="M50" s="11" t="n"/>
      <c r="N50" s="11" t="inlineStr">
        <is>
          <t>Mutación: Partida completa; se registra además la barra inferior de vidas (DEF-001). Niveles 1, 2 y 3 en orden; HUD: ['Nivel 1', 'Nivel 2', 'Nivel 3']. Los tres mapas tienen forma distinta. Color medio de muros: N1 [168, 25, 37] con 148 muestras rojas (franjas), N2 [11, 29, 77] (azul, sin rojo), N3 [14, 78, 18] (verde). Barra inferior de vidas con 3 íconos de Pacman en los tres niveles (DEF-001). (Mapas reducidos por script para avanzar; capturas REG-CP-047-N1..N3.)</t>
        </is>
      </c>
    </row>
    <row r="51" ht="42.59999999999999" customHeight="1">
      <c r="A51" s="6" t="inlineStr">
        <is>
          <t>CP-048</t>
        </is>
      </c>
      <c r="B51" s="7" t="inlineStr">
        <is>
          <t>Regresión (V1, Media/Baja)</t>
        </is>
      </c>
      <c r="C51" s="8" t="inlineStr">
        <is>
          <t>E4</t>
        </is>
      </c>
      <c r="D51" s="9" t="inlineStr">
        <is>
          <t>Media</t>
        </is>
      </c>
      <c r="E51" s="7" t="inlineStr">
        <is>
          <t>Los mapas no varían entre partidas</t>
        </is>
      </c>
      <c r="F51" s="8" t="inlineStr">
        <is>
          <t>HU-15</t>
        </is>
      </c>
      <c r="G51" s="8" t="inlineStr">
        <is>
          <t>No</t>
        </is>
      </c>
      <c r="H51" s="8" t="inlineStr">
        <is>
          <t>Aprobado</t>
        </is>
      </c>
      <c r="I51" s="10" t="inlineStr">
        <is>
          <t>Aprobado</t>
        </is>
      </c>
      <c r="J51" s="8">
        <f>IF(OR(H51="—",I51="",I51="No ejecutado"),"—",IF(H51=I51,"No","Sí"))</f>
        <v/>
      </c>
      <c r="K51" s="11" t="inlineStr">
        <is>
          <t>Luzzi</t>
        </is>
      </c>
      <c r="L51" s="39" t="n">
        <v>46323</v>
      </c>
      <c r="M51" s="11" t="n"/>
      <c r="N51" s="11" t="inlineStr">
        <is>
          <t>Dos partidas nuevas: el mapa del nivel 1 es idéntico en forma, esferas y ubicación de las esferas grandes.</t>
        </is>
      </c>
    </row>
    <row r="52" ht="55.8" customHeight="1">
      <c r="A52" s="6" t="inlineStr">
        <is>
          <t>CP-049</t>
        </is>
      </c>
      <c r="B52" s="7" t="inlineStr">
        <is>
          <t>Regresión (V1, mutado)</t>
        </is>
      </c>
      <c r="C52" s="8" t="inlineStr">
        <is>
          <t>E4</t>
        </is>
      </c>
      <c r="D52" s="9" t="inlineStr">
        <is>
          <t>Alta</t>
        </is>
      </c>
      <c r="E52" s="7" t="inlineStr">
        <is>
          <t>Solo fantasmas clásicos en el nivel 1</t>
        </is>
      </c>
      <c r="F52" s="8" t="inlineStr">
        <is>
          <t>HU-16</t>
        </is>
      </c>
      <c r="G52" s="8" t="inlineStr">
        <is>
          <t>No</t>
        </is>
      </c>
      <c r="H52" s="8" t="inlineStr">
        <is>
          <t>Aprobado</t>
        </is>
      </c>
      <c r="I52" s="10" t="inlineStr">
        <is>
          <t>Aprobado</t>
        </is>
      </c>
      <c r="J52" s="8">
        <f>IF(OR(H52="—",I52="",I52="No ejecutado"),"—",IF(H52=I52,"No","Sí"))</f>
        <v/>
      </c>
      <c r="K52" s="11" t="inlineStr">
        <is>
          <t>Luzzi</t>
        </is>
      </c>
      <c r="L52" s="39" t="n">
        <v>46307</v>
      </c>
      <c r="M52" s="11" t="n"/>
      <c r="N52" s="11" t="inlineStr">
        <is>
          <t>Mutación: Se agregan 30 s más de observación. Nivel 1 observado 40 s (30 s más que en la V1): tipos ['classic'], velocidades [5] celdas/s; ninguno atravesó muros, saltó, colocó frutas ni hizo dash. (Vidas repuestas por script.) Re-ejecutado el 28/10/2026 con la velocidad reducida (decisiones 39 y 40): Aprobado; ver el ciclo 3 en la hoja del caso.</t>
        </is>
      </c>
    </row>
    <row r="53" ht="55.8" customHeight="1">
      <c r="A53" s="6" t="inlineStr">
        <is>
          <t>CP-050</t>
        </is>
      </c>
      <c r="B53" s="7" t="inlineStr">
        <is>
          <t>Regresión (V1, mutado)</t>
        </is>
      </c>
      <c r="C53" s="8" t="inlineStr">
        <is>
          <t>E4</t>
        </is>
      </c>
      <c r="D53" s="9" t="inlineStr">
        <is>
          <t>Alta</t>
        </is>
      </c>
      <c r="E53" s="7" t="inlineStr">
        <is>
          <t>Reaparición como clásico en el nivel 1</t>
        </is>
      </c>
      <c r="F53" s="8" t="inlineStr">
        <is>
          <t>HU-16</t>
        </is>
      </c>
      <c r="G53" s="8" t="inlineStr">
        <is>
          <t>No</t>
        </is>
      </c>
      <c r="H53" s="8" t="inlineStr">
        <is>
          <t>Aprobado</t>
        </is>
      </c>
      <c r="I53" s="10" t="inlineStr">
        <is>
          <t>Aprobado</t>
        </is>
      </c>
      <c r="J53" s="8">
        <f>IF(OR(H53="—",I53="",I53="No ejecutado"),"—",IF(H53=I53,"No","Sí"))</f>
        <v/>
      </c>
      <c r="K53" s="11" t="inlineStr">
        <is>
          <t>Luzzi</t>
        </is>
      </c>
      <c r="L53" s="39" t="n">
        <v>46307</v>
      </c>
      <c r="M53" s="11" t="n"/>
      <c r="N53" s="11" t="inlineStr">
        <is>
          <t>Mutación: 6 fantasmas comidos en lugar de 4. Nivel 1: 6 fantasmas comidos; reaparecieron como ['classic', 'classic', 'classic', 'classic', 'classic', 'classic']. (PowerUp prolongado y reaparición acelerada por script.)</t>
        </is>
      </c>
    </row>
    <row r="54" ht="55.8" customHeight="1">
      <c r="A54" s="6" t="inlineStr">
        <is>
          <t>CP-051</t>
        </is>
      </c>
      <c r="B54" s="7" t="inlineStr">
        <is>
          <t>Regresión (V1, mutado)</t>
        </is>
      </c>
      <c r="C54" s="8" t="inlineStr">
        <is>
          <t>E4</t>
        </is>
      </c>
      <c r="D54" s="9" t="inlineStr">
        <is>
          <t>Alta</t>
        </is>
      </c>
      <c r="E54" s="7" t="inlineStr">
        <is>
          <t>Composición inicial de fantasmas del nivel 2</t>
        </is>
      </c>
      <c r="F54" s="8" t="inlineStr">
        <is>
          <t>HU-17</t>
        </is>
      </c>
      <c r="G54" s="8" t="inlineStr">
        <is>
          <t>No</t>
        </is>
      </c>
      <c r="H54" s="8" t="inlineStr">
        <is>
          <t>Aprobado</t>
        </is>
      </c>
      <c r="I54" s="10" t="inlineStr">
        <is>
          <t>Aprobado</t>
        </is>
      </c>
      <c r="J54" s="8">
        <f>IF(OR(H54="—",I54="",I54="No ejecutado"),"—",IF(H54=I54,"No","Sí"))</f>
        <v/>
      </c>
      <c r="K54" s="11" t="inlineStr">
        <is>
          <t>Luzzi</t>
        </is>
      </c>
      <c r="L54" s="39" t="n">
        <v>46307</v>
      </c>
      <c r="M54" s="11" t="n"/>
      <c r="N54" s="11" t="inlineStr">
        <is>
          <t>Mutación: Sin cambios de datos: se verifica tras completar el nivel 1 con 2 vidas. Nivel 1 completado con 2 vidas; al iniciar el nivel 2 los cuatro fantasmas son ['classic', 'classic', 'classic', 'classic']. (Mapa reducido por script.)</t>
        </is>
      </c>
    </row>
    <row r="55" ht="82.19999999999999" customHeight="1">
      <c r="A55" s="6" t="inlineStr">
        <is>
          <t>CP-052</t>
        </is>
      </c>
      <c r="B55" s="7" t="inlineStr">
        <is>
          <t>Regresión (V1, mutado)</t>
        </is>
      </c>
      <c r="C55" s="8" t="inlineStr">
        <is>
          <t>E4</t>
        </is>
      </c>
      <c r="D55" s="9" t="inlineStr">
        <is>
          <t>Alta</t>
        </is>
      </c>
      <c r="E55" s="7" t="inlineStr">
        <is>
          <t>Reaparición con poderes en el nivel 2</t>
        </is>
      </c>
      <c r="F55" s="8" t="inlineStr">
        <is>
          <t>HU-17</t>
        </is>
      </c>
      <c r="G55" s="8" t="inlineStr">
        <is>
          <t>No</t>
        </is>
      </c>
      <c r="H55" s="8" t="inlineStr">
        <is>
          <t>Aprobado</t>
        </is>
      </c>
      <c r="I55" s="10" t="inlineStr">
        <is>
          <t>Aprobado</t>
        </is>
      </c>
      <c r="J55" s="8">
        <f>IF(OR(H55="—",I55="",I55="No ejecutado"),"—",IF(H55=I55,"No","Sí"))</f>
        <v/>
      </c>
      <c r="K55" s="11" t="inlineStr">
        <is>
          <t>Luzzi</t>
        </is>
      </c>
      <c r="L55" s="39" t="n">
        <v>46307</v>
      </c>
      <c r="M55" s="11" t="n"/>
      <c r="N55" s="11" t="inlineStr">
        <is>
          <t>Mutación: Resultado esperado ajustado a la decisión 23: las reapariciones con poderes pueden ser de los cuatro tipos. Nivel 2: 24 reapariciones → {'naval': 7, 'classic': 11, 'specter': 3, 'jumper': 1, 'accelerated': 2} (13 con poderes, 54 %). Aparecen clásicos y los cuatro tipos con poderes, distinguibles a la vista. (PowerUp prolongado y reaparición acelerada por script.)</t>
        </is>
      </c>
    </row>
    <row r="56" ht="42.59999999999999" customHeight="1">
      <c r="A56" s="6" t="inlineStr">
        <is>
          <t>CP-053</t>
        </is>
      </c>
      <c r="B56" s="7" t="inlineStr">
        <is>
          <t>Regresión (V1, mutado)</t>
        </is>
      </c>
      <c r="C56" s="8" t="inlineStr">
        <is>
          <t>E4</t>
        </is>
      </c>
      <c r="D56" s="9" t="inlineStr">
        <is>
          <t>Alta</t>
        </is>
      </c>
      <c r="E56" s="7" t="inlineStr">
        <is>
          <t>Todos los fantasmas con poderes en el nivel 3</t>
        </is>
      </c>
      <c r="F56" s="8" t="inlineStr">
        <is>
          <t>HU-17</t>
        </is>
      </c>
      <c r="G56" s="8" t="inlineStr">
        <is>
          <t>No</t>
        </is>
      </c>
      <c r="H56" s="8" t="inlineStr">
        <is>
          <t>Aprobado</t>
        </is>
      </c>
      <c r="I56" s="10" t="inlineStr">
        <is>
          <t>Aprobado</t>
        </is>
      </c>
      <c r="J56" s="8">
        <f>IF(OR(H56="—",I56="",I56="No ejecutado"),"—",IF(H56=I56,"No","Sí"))</f>
        <v/>
      </c>
      <c r="K56" s="11" t="inlineStr">
        <is>
          <t>Luzzi</t>
        </is>
      </c>
      <c r="L56" s="39" t="n">
        <v>46307</v>
      </c>
      <c r="M56" s="11" t="n"/>
      <c r="N56" s="11" t="inlineStr">
        <is>
          <t>Mutación: Resultado esperado ajustado a la decisión 23: uno de cada tipo con poderes. Al iniciar el nivel 3 los fantasmas son ['specter', 'jumper', 'naval', 'accelerated']: uno de cada tipo con poderes.</t>
        </is>
      </c>
    </row>
    <row r="57" ht="42.59999999999999" customHeight="1">
      <c r="A57" s="6" t="inlineStr">
        <is>
          <t>CP-054</t>
        </is>
      </c>
      <c r="B57" s="7" t="inlineStr">
        <is>
          <t>Regresión (V1, Media/Baja)</t>
        </is>
      </c>
      <c r="C57" s="8" t="inlineStr">
        <is>
          <t>E4</t>
        </is>
      </c>
      <c r="D57" s="9" t="inlineStr">
        <is>
          <t>Media</t>
        </is>
      </c>
      <c r="E57" s="7" t="inlineStr">
        <is>
          <t>Velocidad reducida del espectro</t>
        </is>
      </c>
      <c r="F57" s="8" t="inlineStr">
        <is>
          <t>HU-17</t>
        </is>
      </c>
      <c r="G57" s="8" t="inlineStr">
        <is>
          <t>No</t>
        </is>
      </c>
      <c r="H57" s="8" t="inlineStr">
        <is>
          <t>Aprobado</t>
        </is>
      </c>
      <c r="I57" s="10" t="inlineStr">
        <is>
          <t>Aprobado</t>
        </is>
      </c>
      <c r="J57" s="8">
        <f>IF(OR(H57="—",I57="",I57="No ejecutado"),"—",IF(H57=I57,"No","Sí"))</f>
        <v/>
      </c>
      <c r="K57" s="11" t="inlineStr">
        <is>
          <t>Luzzi</t>
        </is>
      </c>
      <c r="L57" s="39" t="n">
        <v>46323</v>
      </c>
      <c r="M57" s="11" t="n"/>
      <c r="N57" s="11" t="inlineStr">
        <is>
          <t>Nivel 2, recorrido de 1 s de cada uno desde la misma celda (11,1): clásico 5.00 celdas/s, espectro 3.50 celdas/s; el espectro tarda 43 % más en recorrer la misma distancia (30 % más lento). (Espectro obtenido forzando reapariciones y fantasmas ubicados por script.) Re-ejecutado el 28/10/2026 con la velocidad reducida (decisiones 39 y 40): Aprobado; ver el ciclo 3 en la hoja del caso.</t>
        </is>
      </c>
    </row>
    <row r="58" ht="69" customHeight="1">
      <c r="A58" s="6" t="inlineStr">
        <is>
          <t>CP-055</t>
        </is>
      </c>
      <c r="B58" s="7" t="inlineStr">
        <is>
          <t>Regresión (V1, mutado)</t>
        </is>
      </c>
      <c r="C58" s="8" t="inlineStr">
        <is>
          <t>E4</t>
        </is>
      </c>
      <c r="D58" s="9" t="inlineStr">
        <is>
          <t>Alta</t>
        </is>
      </c>
      <c r="E58" s="7" t="inlineStr">
        <is>
          <t>El espectro atraviesa una pared</t>
        </is>
      </c>
      <c r="F58" s="8" t="inlineStr">
        <is>
          <t>HU-18</t>
        </is>
      </c>
      <c r="G58" s="8" t="inlineStr">
        <is>
          <t>No</t>
        </is>
      </c>
      <c r="H58" s="8" t="inlineStr">
        <is>
          <t>Aprobado</t>
        </is>
      </c>
      <c r="I58" s="10" t="inlineStr">
        <is>
          <t>Aprobado</t>
        </is>
      </c>
      <c r="J58" s="8">
        <f>IF(OR(H58="—",I58="",I58="No ejecutado"),"—",IF(H58=I58,"No","Sí"))</f>
        <v/>
      </c>
      <c r="K58" s="11" t="inlineStr">
        <is>
          <t>Luzzi</t>
        </is>
      </c>
      <c r="L58" s="39" t="n">
        <v>46307</v>
      </c>
      <c r="M58" s="11" t="n"/>
      <c r="N58" s="11" t="inlineStr">
        <is>
          <t>Mutación: Precondición ajustada (decisión 23): se identifica al espectro entre los cuatro tipos del nivel 3. Espectro observado 60 s en el nivel 3: atravesó paredes 6 veces, cada vez una sola pared (el cruce es de muro + celda de salida; nunca una secuencia de paredes contiguas). (Vidas repuestas y otros fantasmas retirados por script.)</t>
        </is>
      </c>
    </row>
    <row r="59" ht="42.59999999999999" customHeight="1">
      <c r="A59" s="6" t="inlineStr">
        <is>
          <t>CP-056</t>
        </is>
      </c>
      <c r="B59" s="7" t="inlineStr">
        <is>
          <t>Regresión (V1, Media/Baja)</t>
        </is>
      </c>
      <c r="C59" s="8" t="inlineStr">
        <is>
          <t>E4</t>
        </is>
      </c>
      <c r="D59" s="9" t="inlineStr">
        <is>
          <t>Media</t>
        </is>
      </c>
      <c r="E59" s="7" t="inlineStr">
        <is>
          <t>Cooldown de la habilidad del espectro</t>
        </is>
      </c>
      <c r="F59" s="8" t="inlineStr">
        <is>
          <t>HU-18</t>
        </is>
      </c>
      <c r="G59" s="8" t="inlineStr">
        <is>
          <t>No</t>
        </is>
      </c>
      <c r="H59" s="8" t="inlineStr">
        <is>
          <t>Aprobado</t>
        </is>
      </c>
      <c r="I59" s="10" t="inlineStr">
        <is>
          <t>Aprobado</t>
        </is>
      </c>
      <c r="J59" s="8">
        <f>IF(OR(H59="—",I59="",I59="No ejecutado"),"—",IF(H59=I59,"No","Sí"))</f>
        <v/>
      </c>
      <c r="K59" s="11" t="inlineStr">
        <is>
          <t>Luzzi</t>
        </is>
      </c>
      <c r="L59" s="39" t="n">
        <v>46323</v>
      </c>
      <c r="M59" s="11" t="n"/>
      <c r="N59" s="11" t="inlineStr">
        <is>
          <t>Nivel 3, 60 s: el espectro empezó a cruzar paredes en t = [2.58, 14.8, 25.7, 35.72, 46.63, 57.55] s; intervalos [12.22, 10.9, 10.02, 10.91, 10.92] s, todos ≥ 10 s. (Vidas repuestas y otros fantasmas retirados por script.)</t>
        </is>
      </c>
    </row>
    <row r="60" ht="69" customHeight="1">
      <c r="A60" s="6" t="inlineStr">
        <is>
          <t>CP-057</t>
        </is>
      </c>
      <c r="B60" s="7" t="inlineStr">
        <is>
          <t>Regresión (V1, mutado)</t>
        </is>
      </c>
      <c r="C60" s="8" t="inlineStr">
        <is>
          <t>E4</t>
        </is>
      </c>
      <c r="D60" s="9" t="inlineStr">
        <is>
          <t>Alta</t>
        </is>
      </c>
      <c r="E60" s="7" t="inlineStr">
        <is>
          <t>Estado de gracia del espectro tras atravesar un muro</t>
        </is>
      </c>
      <c r="F60" s="8" t="inlineStr">
        <is>
          <t>HU-18</t>
        </is>
      </c>
      <c r="G60" s="8" t="inlineStr">
        <is>
          <t>No</t>
        </is>
      </c>
      <c r="H60" s="8" t="inlineStr">
        <is>
          <t>Aprobado</t>
        </is>
      </c>
      <c r="I60" s="10" t="inlineStr">
        <is>
          <t>Aprobado</t>
        </is>
      </c>
      <c r="J60" s="8">
        <f>IF(OR(H60="—",I60="",I60="No ejecutado"),"—",IF(H60=I60,"No","Sí"))</f>
        <v/>
      </c>
      <c r="K60" s="11" t="inlineStr">
        <is>
          <t>Luzzi</t>
        </is>
      </c>
      <c r="L60" s="39" t="n">
        <v>46307</v>
      </c>
      <c r="M60" s="11" t="n"/>
      <c r="N60" s="11" t="inlineStr">
        <is>
          <t>Mutación: Precondición ajustada (decisión 23): se identifica al espectro entre los cuatro tipos. Tras atravesar una pared, el contacto dentro de los 3 s no descontó vidas (3 → 3) y el espectro se veía translúcido y punteado (captura); pasados los 3 s el contacto descontó una vida (3 → 2). (Contacto provocado por script.)</t>
        </is>
      </c>
      <c r="P60" s="4" t="inlineStr">
        <is>
          <t>Resumen por tipo de prueba (sección 12.4)</t>
        </is>
      </c>
      <c r="Q60" s="23" t="n"/>
      <c r="R60" s="23" t="n"/>
      <c r="S60" s="23" t="n"/>
      <c r="T60" s="23" t="n"/>
      <c r="U60" s="23" t="n"/>
      <c r="V60" s="24" t="n"/>
    </row>
    <row r="61" ht="28" customHeight="1">
      <c r="A61" s="6" t="inlineStr">
        <is>
          <t>CP-058</t>
        </is>
      </c>
      <c r="B61" s="7" t="inlineStr">
        <is>
          <t>Regresión (V1, Media/Baja)</t>
        </is>
      </c>
      <c r="C61" s="8" t="inlineStr">
        <is>
          <t>E4</t>
        </is>
      </c>
      <c r="D61" s="9" t="inlineStr">
        <is>
          <t>Media</t>
        </is>
      </c>
      <c r="E61" s="7" t="inlineStr">
        <is>
          <t>El espectro no sale del mapa con su habilidad</t>
        </is>
      </c>
      <c r="F61" s="8" t="inlineStr">
        <is>
          <t>HU-18</t>
        </is>
      </c>
      <c r="G61" s="8" t="inlineStr">
        <is>
          <t>No</t>
        </is>
      </c>
      <c r="H61" s="8" t="inlineStr">
        <is>
          <t>Aprobado</t>
        </is>
      </c>
      <c r="I61" s="10" t="inlineStr">
        <is>
          <t>Aprobado</t>
        </is>
      </c>
      <c r="J61" s="8">
        <f>IF(OR(H61="—",I61="",I61="No ejecutado"),"—",IF(H61=I61,"No","Sí"))</f>
        <v/>
      </c>
      <c r="K61" s="11" t="inlineStr">
        <is>
          <t>Luzzi</t>
        </is>
      </c>
      <c r="L61" s="39" t="n">
        <v>46323</v>
      </c>
      <c r="M61" s="11" t="n"/>
      <c r="N61" s="11" t="inlineStr">
        <is>
          <t>Nivel 3, 90 s: el espectro cruzó 8 paredes; nunca salió del mapa ni quedó detenido dentro de un muro (0 muestras fuera de lugar). (Vidas repuestas y otros fantasmas retirados por script.)</t>
        </is>
      </c>
      <c r="P61" s="16" t="inlineStr">
        <is>
          <t>Tipo de prueba</t>
        </is>
      </c>
      <c r="Q61" s="16" t="inlineStr">
        <is>
          <t>Diseñados</t>
        </is>
      </c>
      <c r="R61" s="16" t="inlineStr">
        <is>
          <t>Ejecutados</t>
        </is>
      </c>
      <c r="S61" s="16" t="inlineStr">
        <is>
          <t>Aprobados</t>
        </is>
      </c>
      <c r="T61" s="16" t="inlineStr">
        <is>
          <t>Fallidos</t>
        </is>
      </c>
      <c r="U61" s="16" t="inlineStr">
        <is>
          <t>Bloqueados</t>
        </is>
      </c>
      <c r="V61" s="16" t="inlineStr">
        <is>
          <t>Tasa de aprobación</t>
        </is>
      </c>
    </row>
    <row r="62" ht="69" customHeight="1">
      <c r="A62" s="6" t="inlineStr">
        <is>
          <t>CP-059</t>
        </is>
      </c>
      <c r="B62" s="7" t="inlineStr">
        <is>
          <t>Regresión (V1, mutado)</t>
        </is>
      </c>
      <c r="C62" s="8" t="inlineStr">
        <is>
          <t>E4</t>
        </is>
      </c>
      <c r="D62" s="9" t="inlineStr">
        <is>
          <t>Alta</t>
        </is>
      </c>
      <c r="E62" s="7" t="inlineStr">
        <is>
          <t>El espectro es vulnerable durante el PowerUp</t>
        </is>
      </c>
      <c r="F62" s="8" t="inlineStr">
        <is>
          <t>HU-18</t>
        </is>
      </c>
      <c r="G62" s="8" t="inlineStr">
        <is>
          <t>No</t>
        </is>
      </c>
      <c r="H62" s="8" t="inlineStr">
        <is>
          <t>Aprobado</t>
        </is>
      </c>
      <c r="I62" s="10" t="inlineStr">
        <is>
          <t>Aprobado</t>
        </is>
      </c>
      <c r="J62" s="8">
        <f>IF(OR(H62="—",I62="",I62="No ejecutado"),"—",IF(H62=I62,"No","Sí"))</f>
        <v/>
      </c>
      <c r="K62" s="11" t="inlineStr">
        <is>
          <t>Luzzi</t>
        </is>
      </c>
      <c r="L62" s="39" t="n">
        <v>46307</v>
      </c>
      <c r="M62" s="11" t="n"/>
      <c r="N62" s="11" t="inlineStr">
        <is>
          <t>Mutación: Precondición ajustada (decisión 23): se identifica al espectro entre los cuatro tipos. Con la esfera grande el espectro pasó a vulnerable; al comerlo sumó +200 (primer fantasma de la escala) y las vidas quedaron en 3. (Fantasmas retirados y posiciones preparadas por script para aislar la condición.)</t>
        </is>
      </c>
      <c r="P62" s="7" t="inlineStr">
        <is>
          <t>Casos nuevos de la V2</t>
        </is>
      </c>
      <c r="Q62" s="8">
        <f>COUNTIF($B$4:$B$132,"Nuevo (V2)")</f>
        <v/>
      </c>
      <c r="R62" s="8">
        <f>COUNTIFS($B$4:$B$132,"Nuevo (V2)",$I$4:$I$132,"Aprobado")+COUNTIFS($B$4:$B$132,"Nuevo (V2)",$I$4:$I$132,"Fallido")</f>
        <v/>
      </c>
      <c r="S62" s="8">
        <f>COUNTIFS($B$4:$B$132,"Nuevo (V2)",$I$4:$I$132,"Aprobado")</f>
        <v/>
      </c>
      <c r="T62" s="8">
        <f>COUNTIFS($B$4:$B$132,"Nuevo (V2)",$I$4:$I$132,"Fallido")</f>
        <v/>
      </c>
      <c r="U62" s="8">
        <f>COUNTIFS($B$4:$B$132,"Nuevo (V2)",$I$4:$I$132,"Bloqueado")</f>
        <v/>
      </c>
      <c r="V62" s="41">
        <f>IFERROR(S62/R62,0)</f>
        <v/>
      </c>
    </row>
    <row r="63" ht="82.19999999999999" customHeight="1">
      <c r="A63" s="6" t="inlineStr">
        <is>
          <t>CP-060</t>
        </is>
      </c>
      <c r="B63" s="7" t="inlineStr">
        <is>
          <t>Regresión (V1, mutado)</t>
        </is>
      </c>
      <c r="C63" s="8" t="inlineStr">
        <is>
          <t>E4</t>
        </is>
      </c>
      <c r="D63" s="9" t="inlineStr">
        <is>
          <t>Alta</t>
        </is>
      </c>
      <c r="E63" s="7" t="inlineStr">
        <is>
          <t>Pantalla de Game Over</t>
        </is>
      </c>
      <c r="F63" s="8" t="inlineStr">
        <is>
          <t>HU-19</t>
        </is>
      </c>
      <c r="G63" s="8" t="inlineStr">
        <is>
          <t>Sí</t>
        </is>
      </c>
      <c r="H63" s="8" t="inlineStr">
        <is>
          <t>Aprobado</t>
        </is>
      </c>
      <c r="I63" s="10" t="inlineStr">
        <is>
          <t>Aprobado</t>
        </is>
      </c>
      <c r="J63" s="8">
        <f>IF(OR(H63="—",I63="",I63="No ejecutado"),"—",IF(H63=I63,"No","Sí"))</f>
        <v/>
      </c>
      <c r="K63" s="11" t="inlineStr">
        <is>
          <t>Luzzi</t>
        </is>
      </c>
      <c r="L63" s="39" t="n">
        <v>46307</v>
      </c>
      <c r="M63" s="11" t="n"/>
      <c r="N63" s="11" t="inlineStr">
        <is>
          <t>Mutación: Además se verifica la acción «Menú principal» (decisión 29). Última vida perdida en el nivel 1: pantalla «Game Over» con el puntaje desglosado (Esferas, Fantasmas comidos, Frutas, Bonus por tiempo, Bonus por vidas, Total) y las acciones «Volver a jugar» y «Menú principal»; «Menú principal» llevó al menú. (Vidas fijadas en 1 por script.)</t>
        </is>
      </c>
      <c r="P63" s="7" t="inlineStr">
        <is>
          <t>Regresión de la V1, prioridad Alta (mutados)</t>
        </is>
      </c>
      <c r="Q63" s="8">
        <f>COUNTIF($B$4:$B$132,"Regresión (V1, mutado)")</f>
        <v/>
      </c>
      <c r="R63" s="8">
        <f>COUNTIFS($B$4:$B$132,"Regresión (V1, mutado)",$I$4:$I$132,"Aprobado")+COUNTIFS($B$4:$B$132,"Regresión (V1, mutado)",$I$4:$I$132,"Fallido")</f>
        <v/>
      </c>
      <c r="S63" s="8">
        <f>COUNTIFS($B$4:$B$132,"Regresión (V1, mutado)",$I$4:$I$132,"Aprobado")</f>
        <v/>
      </c>
      <c r="T63" s="8">
        <f>COUNTIFS($B$4:$B$132,"Regresión (V1, mutado)",$I$4:$I$132,"Fallido")</f>
        <v/>
      </c>
      <c r="U63" s="8">
        <f>COUNTIFS($B$4:$B$132,"Regresión (V1, mutado)",$I$4:$I$132,"Bloqueado")</f>
        <v/>
      </c>
      <c r="V63" s="41">
        <f>IFERROR(S63/R63,0)</f>
        <v/>
      </c>
    </row>
    <row r="64" ht="69" customHeight="1">
      <c r="A64" s="6" t="inlineStr">
        <is>
          <t>CP-061</t>
        </is>
      </c>
      <c r="B64" s="7" t="inlineStr">
        <is>
          <t>Regresión (V1, mutado)</t>
        </is>
      </c>
      <c r="C64" s="8" t="inlineStr">
        <is>
          <t>E4</t>
        </is>
      </c>
      <c r="D64" s="9" t="inlineStr">
        <is>
          <t>Alta</t>
        </is>
      </c>
      <c r="E64" s="7" t="inlineStr">
        <is>
          <t>Pantalla de Victoria</t>
        </is>
      </c>
      <c r="F64" s="8" t="inlineStr">
        <is>
          <t>HU-19</t>
        </is>
      </c>
      <c r="G64" s="8" t="inlineStr">
        <is>
          <t>Sí</t>
        </is>
      </c>
      <c r="H64" s="8" t="inlineStr">
        <is>
          <t>Aprobado</t>
        </is>
      </c>
      <c r="I64" s="10" t="inlineStr">
        <is>
          <t>Aprobado</t>
        </is>
      </c>
      <c r="J64" s="8">
        <f>IF(OR(H64="—",I64="",I64="No ejecutado"),"—",IF(H64=I64,"No","Sí"))</f>
        <v/>
      </c>
      <c r="K64" s="11" t="inlineStr">
        <is>
          <t>Luzzi</t>
        </is>
      </c>
      <c r="L64" s="39" t="n">
        <v>46307</v>
      </c>
      <c r="M64" s="11" t="n"/>
      <c r="N64" s="11" t="inlineStr">
        <is>
          <t>Mutación: Además se verifica la acción «Menú principal» (decisión 29). Completado el nivel 3: pantalla «¡Victoria!» con el puntaje desglosado (Esferas, Fantasmas comidos, Frutas, Bonus por tiempo, Bonus por vidas, Total) y las acciones «Volver a jugar» y «Menú principal»; «Menú principal» llevó al menú. (Mapa reducido por script.)</t>
        </is>
      </c>
      <c r="P64" s="7" t="inlineStr">
        <is>
          <t>Re-ejecución de casos bloqueados</t>
        </is>
      </c>
      <c r="Q64" s="8">
        <f>COUNTIF($B$4:$B$132,"Re-ejecución*")</f>
        <v/>
      </c>
      <c r="R64" s="8">
        <f>COUNTIFS($B$4:$B$132,"Re-ejecución*",$I$4:$I$132,"Aprobado")+COUNTIFS($B$4:$B$132,"Re-ejecución*",$I$4:$I$132,"Fallido")</f>
        <v/>
      </c>
      <c r="S64" s="8">
        <f>COUNTIFS($B$4:$B$132,"Re-ejecución*",$I$4:$I$132,"Aprobado")</f>
        <v/>
      </c>
      <c r="T64" s="8">
        <f>COUNTIFS($B$4:$B$132,"Re-ejecución*",$I$4:$I$132,"Fallido")</f>
        <v/>
      </c>
      <c r="U64" s="8">
        <f>COUNTIFS($B$4:$B$132,"Re-ejecución*",$I$4:$I$132,"Bloqueado")</f>
        <v/>
      </c>
      <c r="V64" s="41">
        <f>IFERROR(S64/R64,0)</f>
        <v/>
      </c>
    </row>
    <row r="65" ht="82.19999999999999" customHeight="1">
      <c r="A65" s="6" t="inlineStr">
        <is>
          <t>CP-062</t>
        </is>
      </c>
      <c r="B65" s="7" t="inlineStr">
        <is>
          <t>Regresión (V1, mutado)</t>
        </is>
      </c>
      <c r="C65" s="8" t="inlineStr">
        <is>
          <t>E4</t>
        </is>
      </c>
      <c r="D65" s="9" t="inlineStr">
        <is>
          <t>Alta</t>
        </is>
      </c>
      <c r="E65" s="7" t="inlineStr">
        <is>
          <t>Reinicio completo del estado al volver a jugar</t>
        </is>
      </c>
      <c r="F65" s="8" t="inlineStr">
        <is>
          <t>HU-19</t>
        </is>
      </c>
      <c r="G65" s="8" t="inlineStr">
        <is>
          <t>Sí</t>
        </is>
      </c>
      <c r="H65" s="8" t="inlineStr">
        <is>
          <t>Aprobado</t>
        </is>
      </c>
      <c r="I65" s="10" t="inlineStr">
        <is>
          <t>Aprobado</t>
        </is>
      </c>
      <c r="J65" s="8">
        <f>IF(OR(H65="—",I65="",I65="No ejecutado"),"—",IF(H65=I65,"No","Sí"))</f>
        <v/>
      </c>
      <c r="K65" s="11" t="inlineStr">
        <is>
          <t>Luzzi</t>
        </is>
      </c>
      <c r="L65" s="39" t="n">
        <v>46307</v>
      </c>
      <c r="M65" s="11" t="n"/>
      <c r="N65" s="11" t="inlineStr">
        <is>
          <t>Mutación: Game Over en el nivel 2; se verifica además que «Volver a jugar» mantiene el modo Pacman (decisión 29). Game Over en el nivel 2 con 1200 puntos; «Volver a jugar» inició el modo Pacman en el nivel 1 con 3 vidas, puntaje 0 y 106 esferas (mapa completo); al pasar al nivel 2 su mapa también estaba completo (131 esferas). (Mapas reducidos por script para avanzar.)</t>
        </is>
      </c>
      <c r="P65" s="7" t="inlineStr">
        <is>
          <t>Confirmación de defectos</t>
        </is>
      </c>
      <c r="Q65" s="8">
        <f>COUNTIF($B$4:$B$132,"Confirmación*")</f>
        <v/>
      </c>
      <c r="R65" s="8">
        <f>COUNTIFS($B$4:$B$132,"Confirmación*",$I$4:$I$132,"Aprobado")+COUNTIFS($B$4:$B$132,"Confirmación*",$I$4:$I$132,"Fallido")</f>
        <v/>
      </c>
      <c r="S65" s="8">
        <f>COUNTIFS($B$4:$B$132,"Confirmación*",$I$4:$I$132,"Aprobado")</f>
        <v/>
      </c>
      <c r="T65" s="8">
        <f>COUNTIFS($B$4:$B$132,"Confirmación*",$I$4:$I$132,"Fallido")</f>
        <v/>
      </c>
      <c r="U65" s="8">
        <f>COUNTIFS($B$4:$B$132,"Confirmación*",$I$4:$I$132,"Bloqueado")</f>
        <v/>
      </c>
      <c r="V65" s="41">
        <f>IFERROR(S65/R65,0)</f>
        <v/>
      </c>
    </row>
    <row r="66" ht="42.59999999999999" customHeight="1">
      <c r="A66" s="6" t="inlineStr">
        <is>
          <t>CP-063</t>
        </is>
      </c>
      <c r="B66" s="7" t="inlineStr">
        <is>
          <t>Regresión (V1, Media/Baja)</t>
        </is>
      </c>
      <c r="C66" s="8" t="inlineStr">
        <is>
          <t>E5</t>
        </is>
      </c>
      <c r="D66" s="9" t="inlineStr">
        <is>
          <t>Media</t>
        </is>
      </c>
      <c r="E66" s="7" t="inlineStr">
        <is>
          <t>Pausa y reanudación con ESC</t>
        </is>
      </c>
      <c r="F66" s="8" t="inlineStr">
        <is>
          <t>HU-20</t>
        </is>
      </c>
      <c r="G66" s="8" t="inlineStr">
        <is>
          <t>Sí</t>
        </is>
      </c>
      <c r="H66" s="8" t="inlineStr">
        <is>
          <t>Aprobado</t>
        </is>
      </c>
      <c r="I66" s="10" t="inlineStr">
        <is>
          <t>Aprobado</t>
        </is>
      </c>
      <c r="J66" s="8">
        <f>IF(OR(H66="—",I66="",I66="No ejecutado"),"—",IF(H66=I66,"No","Sí"))</f>
        <v/>
      </c>
      <c r="K66" s="11" t="inlineStr">
        <is>
          <t>Luzzi</t>
        </is>
      </c>
      <c r="L66" s="39" t="n">
        <v>46323</v>
      </c>
      <c r="M66" s="11" t="n"/>
      <c r="N66" s="11" t="inlineStr">
        <is>
          <t>ESC detuvo la partida y mostró el cartel de pausa; durante 5 s Pacman y los fantasmas quedaron inmóviles; las flechas no movieron a Pacman; el segundo ESC reanudó la partida y se quitó el cartel.</t>
        </is>
      </c>
      <c r="P66" s="7" t="inlineStr">
        <is>
          <t>Regresión de la V1, prioridad Media y Baja</t>
        </is>
      </c>
      <c r="Q66" s="8">
        <f>COUNTIF($B$4:$B$132,"Regresión (V1, Media/Baja)")</f>
        <v/>
      </c>
      <c r="R66" s="8">
        <f>COUNTIFS($B$4:$B$132,"Regresión (V1, Media/Baja)",$I$4:$I$132,"Aprobado")+COUNTIFS($B$4:$B$132,"Regresión (V1, Media/Baja)",$I$4:$I$132,"Fallido")</f>
        <v/>
      </c>
      <c r="S66" s="8">
        <f>COUNTIFS($B$4:$B$132,"Regresión (V1, Media/Baja)",$I$4:$I$132,"Aprobado")</f>
        <v/>
      </c>
      <c r="T66" s="8">
        <f>COUNTIFS($B$4:$B$132,"Regresión (V1, Media/Baja)",$I$4:$I$132,"Fallido")</f>
        <v/>
      </c>
      <c r="U66" s="8">
        <f>COUNTIFS($B$4:$B$132,"Regresión (V1, Media/Baja)",$I$4:$I$132,"Bloqueado")</f>
        <v/>
      </c>
      <c r="V66" s="41">
        <f>IFERROR(S66/R66,0)</f>
        <v/>
      </c>
    </row>
    <row r="67" ht="42.59999999999999" customHeight="1">
      <c r="A67" s="6" t="inlineStr">
        <is>
          <t>CP-064</t>
        </is>
      </c>
      <c r="B67" s="7" t="inlineStr">
        <is>
          <t>Regresión (V1, Media/Baja)</t>
        </is>
      </c>
      <c r="C67" s="8" t="inlineStr">
        <is>
          <t>E5</t>
        </is>
      </c>
      <c r="D67" s="9" t="inlineStr">
        <is>
          <t>Media</t>
        </is>
      </c>
      <c r="E67" s="7" t="inlineStr">
        <is>
          <t>Los temporizadores se detienen durante la pausa</t>
        </is>
      </c>
      <c r="F67" s="8" t="inlineStr">
        <is>
          <t>HU-20</t>
        </is>
      </c>
      <c r="G67" s="8" t="inlineStr">
        <is>
          <t>No</t>
        </is>
      </c>
      <c r="H67" s="8" t="inlineStr">
        <is>
          <t>Aprobado</t>
        </is>
      </c>
      <c r="I67" s="10" t="inlineStr">
        <is>
          <t>Aprobado</t>
        </is>
      </c>
      <c r="J67" s="8">
        <f>IF(OR(H67="—",I67="",I67="No ejecutado"),"—",IF(H67=I67,"No","Sí"))</f>
        <v/>
      </c>
      <c r="K67" s="11" t="inlineStr">
        <is>
          <t>Luzzi</t>
        </is>
      </c>
      <c r="L67" s="39" t="n">
        <v>46323</v>
      </c>
      <c r="M67" s="11" t="n"/>
      <c r="N67" s="11" t="inlineStr">
        <is>
          <t>Pausa a los 2 s del PowerUp durante 15 s: el PowerUp siguió activo con el temporizador detenido en 5.95 s; al reanudar duró 5.97 s más (6 s). (Fantasmas retirados y posiciones preparadas por script para aislar la condición.)</t>
        </is>
      </c>
      <c r="P67" s="18" t="inlineStr">
        <is>
          <t>Total</t>
        </is>
      </c>
      <c r="Q67" s="19">
        <f>SUM(Q62:Q66)</f>
        <v/>
      </c>
      <c r="R67" s="19">
        <f>SUM(R62:R66)</f>
        <v/>
      </c>
      <c r="S67" s="19">
        <f>SUM(S62:S66)</f>
        <v/>
      </c>
      <c r="T67" s="19">
        <f>SUM(T62:T66)</f>
        <v/>
      </c>
      <c r="U67" s="19">
        <f>SUM(U62:U66)</f>
        <v/>
      </c>
      <c r="V67" s="42">
        <f>IFERROR(S67/R67,0)</f>
        <v/>
      </c>
    </row>
    <row r="68" ht="42.59999999999999" customHeight="1">
      <c r="A68" s="6" t="inlineStr">
        <is>
          <t>CP-065</t>
        </is>
      </c>
      <c r="B68" s="7" t="inlineStr">
        <is>
          <t>Regresión (V1, Media/Baja)</t>
        </is>
      </c>
      <c r="C68" s="8" t="inlineStr">
        <is>
          <t>E5</t>
        </is>
      </c>
      <c r="D68" s="9" t="inlineStr">
        <is>
          <t>Baja</t>
        </is>
      </c>
      <c r="E68" s="7" t="inlineStr">
        <is>
          <t>El bonus por tiempo no se afecta por la pausa</t>
        </is>
      </c>
      <c r="F68" s="8" t="inlineStr">
        <is>
          <t>HU-20</t>
        </is>
      </c>
      <c r="G68" s="8" t="inlineStr">
        <is>
          <t>No</t>
        </is>
      </c>
      <c r="H68" s="8" t="inlineStr">
        <is>
          <t>Aprobado</t>
        </is>
      </c>
      <c r="I68" s="10" t="inlineStr">
        <is>
          <t>Aprobado</t>
        </is>
      </c>
      <c r="J68" s="8">
        <f>IF(OR(H68="—",I68="",I68="No ejecutado"),"—",IF(H68=I68,"No","Sí"))</f>
        <v/>
      </c>
      <c r="K68" s="11" t="inlineStr">
        <is>
          <t>Luzzi</t>
        </is>
      </c>
      <c r="L68" s="39" t="n">
        <v>46323</v>
      </c>
      <c r="M68" s="11" t="n"/>
      <c r="N68" s="11" t="inlineStr">
        <is>
          <t>Nivel 1 con una pausa de 60 s: tiempo de juego efectivo 4.87 s (reloj real ≈ 64 s; durante la pausa el tiempo no avanzó); bonus por tiempo 1150 = 10 × 115, sin descontar la pausa. (Mapa reducido a una esfera por script para completar el nivel.)</t>
        </is>
      </c>
    </row>
    <row r="69" ht="42.59999999999999" customHeight="1">
      <c r="A69" s="6" t="inlineStr">
        <is>
          <t>CP-066</t>
        </is>
      </c>
      <c r="B69" s="7" t="inlineStr">
        <is>
          <t>Regresión (V1, Media/Baja)</t>
        </is>
      </c>
      <c r="C69" s="8" t="inlineStr">
        <is>
          <t>E5</t>
        </is>
      </c>
      <c r="D69" s="9" t="inlineStr">
        <is>
          <t>Baja</t>
        </is>
      </c>
      <c r="E69" s="7" t="inlineStr">
        <is>
          <t>La barra espaciadora no tiene efecto en modo Pacman</t>
        </is>
      </c>
      <c r="F69" s="8" t="inlineStr">
        <is>
          <t>HU-21</t>
        </is>
      </c>
      <c r="G69" s="8" t="inlineStr">
        <is>
          <t>No</t>
        </is>
      </c>
      <c r="H69" s="8" t="inlineStr">
        <is>
          <t>Aprobado</t>
        </is>
      </c>
      <c r="I69" s="10" t="inlineStr">
        <is>
          <t>Aprobado</t>
        </is>
      </c>
      <c r="J69" s="8">
        <f>IF(OR(H69="—",I69="",I69="No ejecutado"),"—",IF(H69=I69,"No","Sí"))</f>
        <v/>
      </c>
      <c r="K69" s="11" t="inlineStr">
        <is>
          <t>Luzzi</t>
        </is>
      </c>
      <c r="L69" s="39" t="n">
        <v>46323</v>
      </c>
      <c r="M69" s="11" t="n"/>
      <c r="N69" s="11" t="inlineStr">
        <is>
          <t>10 pulsaciones de la barra espaciadora: puntaje, vidas, pausa, PowerUp y estado de la partida sin cambios ([0, 3, False, False, False] → [0, 3, False, False, False]); la página no hizo scroll (scrollY 0 → 0).</t>
        </is>
      </c>
      <c r="P69" s="4" t="inlineStr">
        <is>
          <t>Indicadores</t>
        </is>
      </c>
      <c r="Q69" s="23" t="n"/>
      <c r="R69" s="23" t="n"/>
      <c r="S69" s="24" t="n"/>
    </row>
    <row r="70" ht="42.59999999999999" customHeight="1">
      <c r="A70" s="6" t="inlineStr">
        <is>
          <t>CP-067</t>
        </is>
      </c>
      <c r="B70" s="7" t="inlineStr">
        <is>
          <t>Nuevo (V2)</t>
        </is>
      </c>
      <c r="C70" s="8" t="inlineStr">
        <is>
          <t>E6</t>
        </is>
      </c>
      <c r="D70" s="9" t="inlineStr">
        <is>
          <t>Alta</t>
        </is>
      </c>
      <c r="E70" s="7" t="inlineStr">
        <is>
          <t>Selección del modo Pacman</t>
        </is>
      </c>
      <c r="F70" s="8" t="inlineStr">
        <is>
          <t>HU-22</t>
        </is>
      </c>
      <c r="G70" s="8" t="inlineStr">
        <is>
          <t>Sí</t>
        </is>
      </c>
      <c r="H70" s="8" t="inlineStr">
        <is>
          <t>—</t>
        </is>
      </c>
      <c r="I70" s="10" t="inlineStr">
        <is>
          <t>Aprobado</t>
        </is>
      </c>
      <c r="J70" s="8">
        <f>IF(OR(H70="—",I70="",I70="No ejecutado"),"—",IF(H70=I70,"No","Sí"))</f>
        <v/>
      </c>
      <c r="K70" s="11" t="inlineStr">
        <is>
          <t>Luzzi</t>
        </is>
      </c>
      <c r="L70" s="39" t="n">
        <v>46307</v>
      </c>
      <c r="M70" s="11" t="n"/>
      <c r="N70" s="11" t="inlineStr">
        <is>
          <t>Menú con «Modo PacMan» (seleccionada) y «Modo GhostMan». Enter inicia el modo Pacman en el nivel 1; ← mueve a Pacman; 3 íconos de Pacman en la barra inferior.</t>
        </is>
      </c>
      <c r="P70" s="13" t="inlineStr">
        <is>
          <t>Avance de la ejecución (ejecutados / diseñados)</t>
        </is>
      </c>
      <c r="Q70" s="41">
        <f>IFERROR(R67/Q67,0)</f>
        <v/>
      </c>
    </row>
    <row r="71" ht="29.4" customHeight="1">
      <c r="A71" s="6" t="inlineStr">
        <is>
          <t>CP-068</t>
        </is>
      </c>
      <c r="B71" s="7" t="inlineStr">
        <is>
          <t>Nuevo (V2)</t>
        </is>
      </c>
      <c r="C71" s="8" t="inlineStr">
        <is>
          <t>E6</t>
        </is>
      </c>
      <c r="D71" s="9" t="inlineStr">
        <is>
          <t>Alta</t>
        </is>
      </c>
      <c r="E71" s="7" t="inlineStr">
        <is>
          <t>Selección del modo GhostMan</t>
        </is>
      </c>
      <c r="F71" s="8" t="inlineStr">
        <is>
          <t>HU-22</t>
        </is>
      </c>
      <c r="G71" s="8" t="inlineStr">
        <is>
          <t>Sí</t>
        </is>
      </c>
      <c r="H71" s="8" t="inlineStr">
        <is>
          <t>—</t>
        </is>
      </c>
      <c r="I71" s="10" t="inlineStr">
        <is>
          <t>Aprobado</t>
        </is>
      </c>
      <c r="J71" s="8">
        <f>IF(OR(H71="—",I71="",I71="No ejecutado"),"—",IF(H71=I71,"No","Sí"))</f>
        <v/>
      </c>
      <c r="K71" s="11" t="inlineStr">
        <is>
          <t>Luzzi</t>
        </is>
      </c>
      <c r="L71" s="39" t="n">
        <v>46307</v>
      </c>
      <c r="M71" s="11" t="n"/>
      <c r="N71" s="11" t="inlineStr">
        <is>
          <t>↓ selecciona «Modo GhostMan»; Enter abre el carrusel con «Clásico» en el centro.</t>
        </is>
      </c>
      <c r="P71" s="13" t="inlineStr">
        <is>
          <t>Tasa de aprobación (aprobados / ejecutados)</t>
        </is>
      </c>
      <c r="Q71" s="41">
        <f>IFERROR(S67/R67,0)</f>
        <v/>
      </c>
    </row>
    <row r="72" ht="29.4" customHeight="1">
      <c r="A72" s="6" t="inlineStr">
        <is>
          <t>CP-069</t>
        </is>
      </c>
      <c r="B72" s="7" t="inlineStr">
        <is>
          <t>Nuevo (V2)</t>
        </is>
      </c>
      <c r="C72" s="8" t="inlineStr">
        <is>
          <t>E6</t>
        </is>
      </c>
      <c r="D72" s="9" t="inlineStr">
        <is>
          <t>Media</t>
        </is>
      </c>
      <c r="E72" s="7" t="inlineStr">
        <is>
          <t>Ícono de vidas según el modo</t>
        </is>
      </c>
      <c r="F72" s="8" t="inlineStr">
        <is>
          <t>HU-22</t>
        </is>
      </c>
      <c r="G72" s="8" t="inlineStr">
        <is>
          <t>No</t>
        </is>
      </c>
      <c r="H72" s="8" t="inlineStr">
        <is>
          <t>—</t>
        </is>
      </c>
      <c r="I72" s="10" t="inlineStr">
        <is>
          <t>Aprobado</t>
        </is>
      </c>
      <c r="J72" s="8">
        <f>IF(OR(H72="—",I72="",I72="No ejecutado"),"—",IF(H72=I72,"No","Sí"))</f>
        <v/>
      </c>
      <c r="K72" s="11" t="inlineStr">
        <is>
          <t>Luzzi</t>
        </is>
      </c>
      <c r="L72" s="39" t="n">
        <v>46307</v>
      </c>
      <c r="M72" s="11" t="n"/>
      <c r="N72" s="11" t="inlineStr">
        <is>
          <t>Modo Pacman: barra «Vidas» con 3 íconos de Pacman. Modo GhostMan: «Vidas de Pacman» con 3 íconos de fantasma.</t>
        </is>
      </c>
      <c r="P72" s="13" t="inlineStr">
        <is>
          <t>Tasa de fallo (fallidos / ejecutados)</t>
        </is>
      </c>
      <c r="Q72" s="41">
        <f>IFERROR(T67/R67,0)</f>
        <v/>
      </c>
    </row>
    <row r="73" ht="29.4" customHeight="1">
      <c r="A73" s="6" t="inlineStr">
        <is>
          <t>CP-070</t>
        </is>
      </c>
      <c r="B73" s="7" t="inlineStr">
        <is>
          <t>Nuevo (V2)</t>
        </is>
      </c>
      <c r="C73" s="8" t="inlineStr">
        <is>
          <t>E6</t>
        </is>
      </c>
      <c r="D73" s="9" t="inlineStr">
        <is>
          <t>Alta</t>
        </is>
      </c>
      <c r="E73" s="7" t="inlineStr">
        <is>
          <t>Contenido del carrusel de fantasmas</t>
        </is>
      </c>
      <c r="F73" s="8" t="inlineStr">
        <is>
          <t>HU-23</t>
        </is>
      </c>
      <c r="G73" s="8" t="inlineStr">
        <is>
          <t>Sí</t>
        </is>
      </c>
      <c r="H73" s="8" t="inlineStr">
        <is>
          <t>—</t>
        </is>
      </c>
      <c r="I73" s="10" t="inlineStr">
        <is>
          <t>Aprobado</t>
        </is>
      </c>
      <c r="J73" s="8">
        <f>IF(OR(H73="—",I73="",I73="No ejecutado"),"—",IF(H73=I73,"No","Sí"))</f>
        <v/>
      </c>
      <c r="K73" s="11" t="inlineStr">
        <is>
          <t>Luzzi</t>
        </is>
      </c>
      <c r="L73" s="39" t="n">
        <v>46307</v>
      </c>
      <c r="M73" s="11" t="n"/>
      <c r="N73" s="11" t="inlineStr">
        <is>
          <t>Tipos en orden: Clásico, Espectro, Saltarín, Naval, Acelerado. Cada uno con su nombre debajo y la descripción del poder como subtítulo.</t>
        </is>
      </c>
      <c r="P73" s="13" t="inlineStr">
        <is>
          <t>Cobertura de prioridad Alta de la V2 (ejecutados / diseñados)</t>
        </is>
      </c>
      <c r="Q73" s="41">
        <f>IFERROR((COUNTIFS($B$4:$B$132,"Nuevo (V2)",$D$4:$D$132,"Alta",$I$4:$I$132,"Aprobado")+COUNTIFS($B$4:$B$132,"Nuevo (V2)",$D$4:$D$132,"Alta",$I$4:$I$132,"Fallido"))/COUNTIFS($B$4:$B$132,"Nuevo (V2)",$D$4:$D$132,"Alta"),0)</f>
        <v/>
      </c>
    </row>
    <row r="74" ht="16.2" customHeight="1">
      <c r="A74" s="6" t="inlineStr">
        <is>
          <t>CP-071</t>
        </is>
      </c>
      <c r="B74" s="7" t="inlineStr">
        <is>
          <t>Nuevo (V2)</t>
        </is>
      </c>
      <c r="C74" s="8" t="inlineStr">
        <is>
          <t>E6</t>
        </is>
      </c>
      <c r="D74" s="9" t="inlineStr">
        <is>
          <t>Media</t>
        </is>
      </c>
      <c r="E74" s="7" t="inlineStr">
        <is>
          <t>Navegación circular del carrusel</t>
        </is>
      </c>
      <c r="F74" s="8" t="inlineStr">
        <is>
          <t>HU-23</t>
        </is>
      </c>
      <c r="G74" s="8" t="inlineStr">
        <is>
          <t>No</t>
        </is>
      </c>
      <c r="H74" s="8" t="inlineStr">
        <is>
          <t>—</t>
        </is>
      </c>
      <c r="I74" s="10" t="inlineStr">
        <is>
          <t>Aprobado</t>
        </is>
      </c>
      <c r="J74" s="8">
        <f>IF(OR(H74="—",I74="",I74="No ejecutado"),"—",IF(H74=I74,"No","Sí"))</f>
        <v/>
      </c>
      <c r="K74" s="11" t="inlineStr">
        <is>
          <t>Luzzi</t>
        </is>
      </c>
      <c r="L74" s="39" t="n">
        <v>46307</v>
      </c>
      <c r="M74" s="11" t="n"/>
      <c r="N74" s="11" t="inlineStr">
        <is>
          <t>← → Acelerado; D → Clásico; A → Acelerado.</t>
        </is>
      </c>
      <c r="P74" s="13" t="inlineStr">
        <is>
          <t>Defectos nuevos detectados en la V2</t>
        </is>
      </c>
      <c r="Q74" s="22">
        <f>COUNTIFS('Registro de defectos'!$H$5:$H$104,"V2*",'Registro de defectos'!$G$5:$G$104,"&lt;&gt;Rechazado")</f>
        <v/>
      </c>
    </row>
    <row r="75" ht="29.4" customHeight="1">
      <c r="A75" s="6" t="inlineStr">
        <is>
          <t>CP-072</t>
        </is>
      </c>
      <c r="B75" s="7" t="inlineStr">
        <is>
          <t>Nuevo (V2)</t>
        </is>
      </c>
      <c r="C75" s="8" t="inlineStr">
        <is>
          <t>E6</t>
        </is>
      </c>
      <c r="D75" s="9" t="inlineStr">
        <is>
          <t>Alta</t>
        </is>
      </c>
      <c r="E75" s="7" t="inlineStr">
        <is>
          <t>Confirmación con Enter</t>
        </is>
      </c>
      <c r="F75" s="8" t="inlineStr">
        <is>
          <t>HU-23</t>
        </is>
      </c>
      <c r="G75" s="8" t="inlineStr">
        <is>
          <t>Sí</t>
        </is>
      </c>
      <c r="H75" s="8" t="inlineStr">
        <is>
          <t>—</t>
        </is>
      </c>
      <c r="I75" s="10" t="inlineStr">
        <is>
          <t>Aprobado</t>
        </is>
      </c>
      <c r="J75" s="8">
        <f>IF(OR(H75="—",I75="",I75="No ejecutado"),"—",IF(H75=I75,"No","Sí"))</f>
        <v/>
      </c>
      <c r="K75" s="11" t="inlineStr">
        <is>
          <t>Luzzi</t>
        </is>
      </c>
      <c r="L75" s="39" t="n">
        <v>46307</v>
      </c>
      <c r="M75" s="11" t="n"/>
      <c r="N75" s="11" t="inlineStr">
        <is>
          <t>Enter con el Naval en el centro inicia el modo GhostMan con el Naval (velocidad 4 celdas/s) en la esquina superior izquierda. Re-ejecutado el 28/10/2026 con la velocidad reducida un 25 % (decisión 39): Aprobado; ver el ciclo 3 en la hoja del caso.</t>
        </is>
      </c>
      <c r="P75" s="13" t="inlineStr">
        <is>
          <t>Casos que cambiaron de estado respecto de la Entrega 1</t>
        </is>
      </c>
      <c r="Q75" s="22">
        <f>COUNTIF($J$4:$J$132,"Sí")</f>
        <v/>
      </c>
    </row>
    <row r="76" ht="29.4" customHeight="1">
      <c r="A76" s="6" t="inlineStr">
        <is>
          <t>CP-073</t>
        </is>
      </c>
      <c r="B76" s="7" t="inlineStr">
        <is>
          <t>Nuevo (V2)</t>
        </is>
      </c>
      <c r="C76" s="8" t="inlineStr">
        <is>
          <t>E6</t>
        </is>
      </c>
      <c r="D76" s="9" t="inlineStr">
        <is>
          <t>Alta</t>
        </is>
      </c>
      <c r="E76" s="7" t="inlineStr">
        <is>
          <t>Inmutabilidad de la selección</t>
        </is>
      </c>
      <c r="F76" s="8" t="inlineStr">
        <is>
          <t>HU-23</t>
        </is>
      </c>
      <c r="G76" s="8" t="inlineStr">
        <is>
          <t>No</t>
        </is>
      </c>
      <c r="H76" s="8" t="inlineStr">
        <is>
          <t>—</t>
        </is>
      </c>
      <c r="I76" s="10" t="inlineStr">
        <is>
          <t>Aprobado</t>
        </is>
      </c>
      <c r="J76" s="8">
        <f>IF(OR(H76="—",I76="",I76="No ejecutado"),"—",IF(H76=I76,"No","Sí"))</f>
        <v/>
      </c>
      <c r="K76" s="11" t="inlineStr">
        <is>
          <t>Luzzi</t>
        </is>
      </c>
      <c r="L76" s="39" t="n">
        <v>46307</v>
      </c>
      <c r="M76" s="11" t="n"/>
      <c r="N76" s="11" t="inlineStr">
        <is>
          <t>Con ← → A D Enter durante 4 s el carrusel no se abre; tras pausar y reanudar el fantasma sigue siendo el Espectro.</t>
        </is>
      </c>
    </row>
    <row r="77" ht="55.8" customHeight="1">
      <c r="A77" s="6" t="inlineStr">
        <is>
          <t>CP-074</t>
        </is>
      </c>
      <c r="B77" s="7" t="inlineStr">
        <is>
          <t>Nuevo (V2)</t>
        </is>
      </c>
      <c r="C77" s="8" t="inlineStr">
        <is>
          <t>E6</t>
        </is>
      </c>
      <c r="D77" s="9" t="inlineStr">
        <is>
          <t>Alta</t>
        </is>
      </c>
      <c r="E77" s="7" t="inlineStr">
        <is>
          <t>Control del fantasma con flechas y WASD</t>
        </is>
      </c>
      <c r="F77" s="8" t="inlineStr">
        <is>
          <t>HU-24</t>
        </is>
      </c>
      <c r="G77" s="8" t="inlineStr">
        <is>
          <t>Sí</t>
        </is>
      </c>
      <c r="H77" s="8" t="inlineStr">
        <is>
          <t>—</t>
        </is>
      </c>
      <c r="I77" s="10" t="inlineStr">
        <is>
          <t>Aprobado</t>
        </is>
      </c>
      <c r="J77" s="8">
        <f>IF(OR(H77="—",I77="",I77="No ejecutado"),"—",IF(H77=I77,"No","Sí"))</f>
        <v/>
      </c>
      <c r="K77" s="11" t="inlineStr">
        <is>
          <t>Luzzi</t>
        </is>
      </c>
      <c r="L77" s="39" t="n">
        <v>46307</v>
      </c>
      <c r="M77" s="11" t="n"/>
      <c r="N77" s="11" t="inlineStr">
        <is>
          <t>Con ↓ → el fantasma bajó y giró a la derecha (celda 4,6); con W A subió y giró a la izquierda (celda 4,3). Precondición preparada por script (posiciones y fantasmas de la IA retirados) para aislar la condición.</t>
        </is>
      </c>
      <c r="P77" s="4" t="inlineStr">
        <is>
          <t>Casos que cambiaron de estado entre la Entrega 1 y la Entrega 2</t>
        </is>
      </c>
      <c r="Q77" s="23" t="n"/>
      <c r="R77" s="23" t="n"/>
      <c r="S77" s="23" t="n"/>
      <c r="T77" s="23" t="n"/>
      <c r="U77" s="23" t="n"/>
      <c r="V77" s="24" t="n"/>
    </row>
    <row r="78" ht="55.8" customHeight="1">
      <c r="A78" s="6" t="inlineStr">
        <is>
          <t>CP-075</t>
        </is>
      </c>
      <c r="B78" s="7" t="inlineStr">
        <is>
          <t>Nuevo (V2)</t>
        </is>
      </c>
      <c r="C78" s="8" t="inlineStr">
        <is>
          <t>E6</t>
        </is>
      </c>
      <c r="D78" s="9" t="inlineStr">
        <is>
          <t>Alta</t>
        </is>
      </c>
      <c r="E78" s="7" t="inlineStr">
        <is>
          <t>El fantasma respeta los muros</t>
        </is>
      </c>
      <c r="F78" s="8" t="inlineStr">
        <is>
          <t>HU-24</t>
        </is>
      </c>
      <c r="G78" s="8" t="inlineStr">
        <is>
          <t>No</t>
        </is>
      </c>
      <c r="H78" s="8" t="inlineStr">
        <is>
          <t>—</t>
        </is>
      </c>
      <c r="I78" s="10" t="inlineStr">
        <is>
          <t>Aprobado</t>
        </is>
      </c>
      <c r="J78" s="8">
        <f>IF(OR(H78="—",I78="",I78="No ejecutado"),"—",IF(H78=I78,"No","Sí"))</f>
        <v/>
      </c>
      <c r="K78" s="11" t="inlineStr">
        <is>
          <t>Luzzi</t>
        </is>
      </c>
      <c r="L78" s="39" t="n">
        <v>46307</v>
      </c>
      <c r="M78" s="11" t="n"/>
      <c r="N78" s="11" t="inlineStr">
        <is>
          <t>Durante 7 s contra el borde superior y los muros de la fila 2, el fantasma nunca entró a un muro ni salió del mapa. Precondición preparada por script (posiciones y fantasmas de la IA retirados) para aislar la condición.</t>
        </is>
      </c>
      <c r="P78" s="16" t="inlineStr">
        <is>
          <t>Caso</t>
        </is>
      </c>
      <c r="Q78" s="16" t="inlineStr">
        <is>
          <t>Entrega 1</t>
        </is>
      </c>
      <c r="R78" s="16" t="inlineStr">
        <is>
          <t>Entrega 2</t>
        </is>
      </c>
      <c r="S78" s="16" t="inlineStr">
        <is>
          <t>Motivo</t>
        </is>
      </c>
      <c r="T78" s="23" t="n"/>
      <c r="U78" s="23" t="n"/>
      <c r="V78" s="24" t="n"/>
    </row>
    <row r="79" ht="55.8" customHeight="1">
      <c r="A79" s="6" t="inlineStr">
        <is>
          <t>CP-076</t>
        </is>
      </c>
      <c r="B79" s="7" t="inlineStr">
        <is>
          <t>Nuevo (V2)</t>
        </is>
      </c>
      <c r="C79" s="8" t="inlineStr">
        <is>
          <t>E6</t>
        </is>
      </c>
      <c r="D79" s="9" t="inlineStr">
        <is>
          <t>Alta</t>
        </is>
      </c>
      <c r="E79" s="7" t="inlineStr">
        <is>
          <t>Pacman y los demás fantasmas bajo IA</t>
        </is>
      </c>
      <c r="F79" s="8" t="inlineStr">
        <is>
          <t>HU-24</t>
        </is>
      </c>
      <c r="G79" s="8" t="inlineStr">
        <is>
          <t>Sí</t>
        </is>
      </c>
      <c r="H79" s="8" t="inlineStr">
        <is>
          <t>—</t>
        </is>
      </c>
      <c r="I79" s="10" t="inlineStr">
        <is>
          <t>Aprobado</t>
        </is>
      </c>
      <c r="J79" s="8">
        <f>IF(OR(H79="—",I79="",I79="No ejecutado"),"—",IF(H79=I79,"No","Sí"))</f>
        <v/>
      </c>
      <c r="K79" s="11" t="inlineStr">
        <is>
          <t>Luzzi</t>
        </is>
      </c>
      <c r="L79" s="39" t="n">
        <v>46307</v>
      </c>
      <c r="M79" s="11" t="n"/>
      <c r="N79" s="11" t="inlineStr">
        <is>
          <t>En 10 s sin teclas Pacman consumió 39 esferas; los 3 fantasmas de la IA se movieron y el del jugador quedó quieto.</t>
        </is>
      </c>
      <c r="P79" s="7" t="inlineStr">
        <is>
          <t>CP-034 · Presentación del contador de vidas</t>
        </is>
      </c>
      <c r="Q79" s="8" t="inlineStr">
        <is>
          <t>Fallido</t>
        </is>
      </c>
      <c r="R79" s="8" t="inlineStr">
        <is>
          <t>Aprobado</t>
        </is>
      </c>
      <c r="S79" s="7" t="inlineStr">
        <is>
          <t>DEF-001 corregido en el commit 7ec70df (vidas abajo a la izquierda con íconos de Pacman); confirmación aprobada.</t>
        </is>
      </c>
      <c r="T79" s="23" t="n"/>
      <c r="U79" s="23" t="n"/>
      <c r="V79" s="24" t="n"/>
    </row>
    <row r="80" ht="42.59999999999999" customHeight="1">
      <c r="A80" s="6" t="inlineStr">
        <is>
          <t>CP-077</t>
        </is>
      </c>
      <c r="B80" s="7" t="inlineStr">
        <is>
          <t>Nuevo (V2)</t>
        </is>
      </c>
      <c r="C80" s="8" t="inlineStr">
        <is>
          <t>E6</t>
        </is>
      </c>
      <c r="D80" s="9" t="inlineStr">
        <is>
          <t>Alta</t>
        </is>
      </c>
      <c r="E80" s="7" t="inlineStr">
        <is>
          <t>Derrota de Pacman y reinicio del nivel</t>
        </is>
      </c>
      <c r="F80" s="8" t="inlineStr">
        <is>
          <t>HU-25</t>
        </is>
      </c>
      <c r="G80" s="8" t="inlineStr">
        <is>
          <t>Sí</t>
        </is>
      </c>
      <c r="H80" s="8" t="inlineStr">
        <is>
          <t>—</t>
        </is>
      </c>
      <c r="I80" s="10" t="inlineStr">
        <is>
          <t>Aprobado</t>
        </is>
      </c>
      <c r="J80" s="8">
        <f>IF(OR(H80="—",I80="",I80="No ejecutado"),"—",IF(H80=I80,"No","Sí"))</f>
        <v/>
      </c>
      <c r="K80" s="11" t="inlineStr">
        <is>
          <t>Luzzi</t>
        </is>
      </c>
      <c r="L80" s="39" t="n">
        <v>46307</v>
      </c>
      <c r="M80" s="11" t="n"/>
      <c r="N80" s="11" t="inlineStr">
        <is>
          <t>Vidas de Pacman 3 → 2, puntaje +500; Pacman volvió a su posición inicial (7,8) y el fantasma a (1,1); las esferas consumidas siguen consumidas (86 → 86 restantes).</t>
        </is>
      </c>
      <c r="P80" s="7" t="inlineStr">
        <is>
          <t>CP-032 · El PowerUp se cancela al perder una vida</t>
        </is>
      </c>
      <c r="Q80" s="8" t="inlineStr">
        <is>
          <t>Bloqueado</t>
        </is>
      </c>
      <c r="R80" s="8" t="inlineStr">
        <is>
          <t>Bloqueado</t>
        </is>
      </c>
      <c r="S80" s="7" t="inlineStr">
        <is>
          <t>Sin cambio. Se había informado Aprobado el 12/10, pero se corrigió: la precondición no se puede dar en el juego (ver la observación del caso).</t>
        </is>
      </c>
      <c r="T80" s="23" t="n"/>
      <c r="U80" s="23" t="n"/>
      <c r="V80" s="24" t="n"/>
    </row>
    <row r="81" ht="29.4" customHeight="1">
      <c r="A81" s="6" t="inlineStr">
        <is>
          <t>CP-078</t>
        </is>
      </c>
      <c r="B81" s="7" t="inlineStr">
        <is>
          <t>Nuevo (V2)</t>
        </is>
      </c>
      <c r="C81" s="8" t="inlineStr">
        <is>
          <t>E6</t>
        </is>
      </c>
      <c r="D81" s="9" t="inlineStr">
        <is>
          <t>Alta</t>
        </is>
      </c>
      <c r="E81" s="7" t="inlineStr">
        <is>
          <t>Contador de derrotas de Pacman</t>
        </is>
      </c>
      <c r="F81" s="8" t="inlineStr">
        <is>
          <t>HU-25</t>
        </is>
      </c>
      <c r="G81" s="8" t="inlineStr">
        <is>
          <t>No</t>
        </is>
      </c>
      <c r="H81" s="8" t="inlineStr">
        <is>
          <t>—</t>
        </is>
      </c>
      <c r="I81" s="10" t="inlineStr">
        <is>
          <t>Aprobado</t>
        </is>
      </c>
      <c r="J81" s="8">
        <f>IF(OR(H81="—",I81="",I81="No ejecutado"),"—",IF(H81=I81,"No","Sí"))</f>
        <v/>
      </c>
      <c r="K81" s="11" t="inlineStr">
        <is>
          <t>Luzzi</t>
        </is>
      </c>
      <c r="L81" s="39" t="n">
        <v>46307</v>
      </c>
      <c r="M81" s="11" t="n"/>
      <c r="N81" s="11" t="inlineStr">
        <is>
          <t>Contador visible: 3; tras el toque de un fantasma de la IA: 3; tras el toque del jugador: 2.</t>
        </is>
      </c>
      <c r="P81" s="2" t="inlineStr">
        <is>
          <t>Los 64 casos de regresión de la V1 (35 Alta y 29 Media/Baja) mantienen el estado Aprobado de la Entrega 1. Solo CP-034 cambió de estado.</t>
        </is>
      </c>
    </row>
    <row r="82" ht="42.59999999999999" customHeight="1">
      <c r="A82" s="6" t="inlineStr">
        <is>
          <t>CP-079</t>
        </is>
      </c>
      <c r="B82" s="7" t="inlineStr">
        <is>
          <t>Nuevo (V2)</t>
        </is>
      </c>
      <c r="C82" s="8" t="inlineStr">
        <is>
          <t>E6</t>
        </is>
      </c>
      <c r="D82" s="9" t="inlineStr">
        <is>
          <t>Alta</t>
        </is>
      </c>
      <c r="E82" s="7" t="inlineStr">
        <is>
          <t>Nivel completado con 3 derrotas</t>
        </is>
      </c>
      <c r="F82" s="8" t="inlineStr">
        <is>
          <t>HU-25</t>
        </is>
      </c>
      <c r="G82" s="8" t="inlineStr">
        <is>
          <t>Sí</t>
        </is>
      </c>
      <c r="H82" s="8" t="inlineStr">
        <is>
          <t>—</t>
        </is>
      </c>
      <c r="I82" s="10" t="inlineStr">
        <is>
          <t>Aprobado</t>
        </is>
      </c>
      <c r="J82" s="8">
        <f>IF(OR(H82="—",I82="",I82="No ejecutado"),"—",IF(H82=I82,"No","Sí"))</f>
        <v/>
      </c>
      <c r="K82" s="11" t="inlineStr">
        <is>
          <t>Luzzi</t>
        </is>
      </c>
      <c r="L82" s="39" t="n">
        <v>46307</v>
      </c>
      <c r="M82" s="11" t="n"/>
      <c r="N82" s="11" t="inlineStr">
        <is>
          <t>Tercera derrota: el nivel se completó y se mostró el resultado; a los 3 s empezó el nivel 2 con 3 vidas de Pacman. (Vidas previas fijadas en 1 por script.)</t>
        </is>
      </c>
    </row>
    <row r="83" ht="42.59999999999999" customHeight="1">
      <c r="A83" s="6" t="inlineStr">
        <is>
          <t>CP-080</t>
        </is>
      </c>
      <c r="B83" s="7" t="inlineStr">
        <is>
          <t>Nuevo (V2)</t>
        </is>
      </c>
      <c r="C83" s="8" t="inlineStr">
        <is>
          <t>E6</t>
        </is>
      </c>
      <c r="D83" s="9" t="inlineStr">
        <is>
          <t>Alta</t>
        </is>
      </c>
      <c r="E83" s="7" t="inlineStr">
        <is>
          <t>Game Over si Pacman consume la última esfera</t>
        </is>
      </c>
      <c r="F83" s="8" t="inlineStr">
        <is>
          <t>HU-26</t>
        </is>
      </c>
      <c r="G83" s="8" t="inlineStr">
        <is>
          <t>No</t>
        </is>
      </c>
      <c r="H83" s="8" t="inlineStr">
        <is>
          <t>—</t>
        </is>
      </c>
      <c r="I83" s="10" t="inlineStr">
        <is>
          <t>Aprobado</t>
        </is>
      </c>
      <c r="J83" s="8">
        <f>IF(OR(H83="—",I83="",I83="No ejecutado"),"—",IF(H83=I83,"No","Sí"))</f>
        <v/>
      </c>
      <c r="K83" s="11" t="inlineStr">
        <is>
          <t>Luzzi</t>
        </is>
      </c>
      <c r="L83" s="39" t="n">
        <v>46307</v>
      </c>
      <c r="M83" s="11" t="n"/>
      <c r="N83" s="11" t="inlineStr">
        <is>
          <t>Con 1 derrota de Pacman en el nivel (2 vidas), Pacman consumió la última esfera: Game Over con el puntaje y «Volver a jugar». (Mapa reducido a una esfera por script.)</t>
        </is>
      </c>
      <c r="P83" s="4" t="inlineStr">
        <is>
          <t>Resultados por épica (sección 12.5)</t>
        </is>
      </c>
      <c r="Q83" s="23" t="n"/>
      <c r="R83" s="23" t="n"/>
      <c r="S83" s="23" t="n"/>
      <c r="T83" s="23" t="n"/>
      <c r="U83" s="23" t="n"/>
      <c r="V83" s="24" t="n"/>
    </row>
    <row r="84" ht="28" customHeight="1">
      <c r="A84" s="6" t="inlineStr">
        <is>
          <t>CP-081</t>
        </is>
      </c>
      <c r="B84" s="7" t="inlineStr">
        <is>
          <t>Nuevo (V2)</t>
        </is>
      </c>
      <c r="C84" s="8" t="inlineStr">
        <is>
          <t>E6</t>
        </is>
      </c>
      <c r="D84" s="9" t="inlineStr">
        <is>
          <t>Alta</t>
        </is>
      </c>
      <c r="E84" s="7" t="inlineStr">
        <is>
          <t>Vulnerabilidad durante el PowerUp de Pacman</t>
        </is>
      </c>
      <c r="F84" s="8" t="inlineStr">
        <is>
          <t>HU-27</t>
        </is>
      </c>
      <c r="G84" s="8" t="inlineStr">
        <is>
          <t>Sí</t>
        </is>
      </c>
      <c r="H84" s="8" t="inlineStr">
        <is>
          <t>—</t>
        </is>
      </c>
      <c r="I84" s="10" t="inlineStr">
        <is>
          <t>Aprobado</t>
        </is>
      </c>
      <c r="J84" s="8">
        <f>IF(OR(H84="—",I84="",I84="No ejecutado"),"—",IF(H84=I84,"No","Sí"))</f>
        <v/>
      </c>
      <c r="K84" s="11" t="inlineStr">
        <is>
          <t>Luzzi</t>
        </is>
      </c>
      <c r="L84" s="39" t="n">
        <v>46307</v>
      </c>
      <c r="M84" s="11" t="n"/>
      <c r="N84" s="11" t="inlineStr">
        <is>
          <t>Pacman consumió una esfera grande (ubicada junto a él por script) y el fantasma del jugador pasó al diseño vulnerable; al tocar a Pacman no lo derrotó (vidas 3 → 3; el fantasma fue comido: True).</t>
        </is>
      </c>
      <c r="P84" s="16" t="inlineStr">
        <is>
          <t>Épica</t>
        </is>
      </c>
      <c r="Q84" s="16" t="inlineStr">
        <is>
          <t>Diseñados</t>
        </is>
      </c>
      <c r="R84" s="16" t="inlineStr">
        <is>
          <t>Ejecutados</t>
        </is>
      </c>
      <c r="S84" s="16" t="inlineStr">
        <is>
          <t>Aprobados</t>
        </is>
      </c>
      <c r="T84" s="16" t="inlineStr">
        <is>
          <t>Fallidos</t>
        </is>
      </c>
      <c r="U84" s="16" t="inlineStr">
        <is>
          <t>Bloqueados</t>
        </is>
      </c>
      <c r="V84" s="16" t="inlineStr">
        <is>
          <t>Tasa de aprobación</t>
        </is>
      </c>
    </row>
    <row r="85" ht="42.59999999999999" customHeight="1">
      <c r="A85" s="6" t="inlineStr">
        <is>
          <t>CP-082</t>
        </is>
      </c>
      <c r="B85" s="7" t="inlineStr">
        <is>
          <t>Nuevo (V2)</t>
        </is>
      </c>
      <c r="C85" s="8" t="inlineStr">
        <is>
          <t>E6</t>
        </is>
      </c>
      <c r="D85" s="9" t="inlineStr">
        <is>
          <t>Media</t>
        </is>
      </c>
      <c r="E85" s="7" t="inlineStr">
        <is>
          <t>Reaparición del fantasma del jugador</t>
        </is>
      </c>
      <c r="F85" s="8" t="inlineStr">
        <is>
          <t>HU-27</t>
        </is>
      </c>
      <c r="G85" s="8" t="inlineStr">
        <is>
          <t>Sí</t>
        </is>
      </c>
      <c r="H85" s="8" t="inlineStr">
        <is>
          <t>—</t>
        </is>
      </c>
      <c r="I85" s="10" t="inlineStr">
        <is>
          <t>Aprobado</t>
        </is>
      </c>
      <c r="J85" s="8">
        <f>IF(OR(H85="—",I85="",I85="No ejecutado"),"—",IF(H85=I85,"No","Sí"))</f>
        <v/>
      </c>
      <c r="K85" s="11" t="inlineStr">
        <is>
          <t>Luzzi</t>
        </is>
      </c>
      <c r="L85" s="39" t="n">
        <v>46307</v>
      </c>
      <c r="M85" s="11" t="n"/>
      <c r="N85" s="11" t="inlineStr">
        <is>
          <t>Clásico: reapareció a los 5.03 s; Naval: a los 8.02 s. Durante la espera se ve «Reaparecés en 5» y el fantasma queda en (1,1) sin responder al teclado.</t>
        </is>
      </c>
      <c r="P85" s="7" t="inlineStr">
        <is>
          <t>E1 — Núcleo de juego y movimiento</t>
        </is>
      </c>
      <c r="Q85" s="8">
        <f>COUNTIF($C$4:$C$132,"E1")</f>
        <v/>
      </c>
      <c r="R85" s="8">
        <f>COUNTIFS($C$4:$C$132,"E1",$I$4:$I$132,"Aprobado")+COUNTIFS($C$4:$C$132,"E1",$I$4:$I$132,"Fallido")</f>
        <v/>
      </c>
      <c r="S85" s="8">
        <f>COUNTIFS($C$4:$C$132,"E1",$I$4:$I$132,"Aprobado")</f>
        <v/>
      </c>
      <c r="T85" s="8">
        <f>COUNTIFS($C$4:$C$132,"E1",$I$4:$I$132,"Fallido")</f>
        <v/>
      </c>
      <c r="U85" s="8">
        <f>COUNTIFS($C$4:$C$132,"E1",$I$4:$I$132,"Bloqueado")</f>
        <v/>
      </c>
      <c r="V85" s="41">
        <f>IFERROR(S85/R85,0)</f>
        <v/>
      </c>
    </row>
    <row r="86" ht="29.4" customHeight="1">
      <c r="A86" s="6" t="inlineStr">
        <is>
          <t>CP-083</t>
        </is>
      </c>
      <c r="B86" s="7" t="inlineStr">
        <is>
          <t>Nuevo (V2)</t>
        </is>
      </c>
      <c r="C86" s="8" t="inlineStr">
        <is>
          <t>E6</t>
        </is>
      </c>
      <c r="D86" s="9" t="inlineStr">
        <is>
          <t>Alta</t>
        </is>
      </c>
      <c r="E86" s="7" t="inlineStr">
        <is>
          <t>Ser comido no descuenta vidas ni reinicia el nivel</t>
        </is>
      </c>
      <c r="F86" s="8" t="inlineStr">
        <is>
          <t>HU-27</t>
        </is>
      </c>
      <c r="G86" s="8" t="inlineStr">
        <is>
          <t>No</t>
        </is>
      </c>
      <c r="H86" s="8" t="inlineStr">
        <is>
          <t>—</t>
        </is>
      </c>
      <c r="I86" s="10" t="inlineStr">
        <is>
          <t>Aprobado</t>
        </is>
      </c>
      <c r="J86" s="8">
        <f>IF(OR(H86="—",I86="",I86="No ejecutado"),"—",IF(H86=I86,"No","Sí"))</f>
        <v/>
      </c>
      <c r="K86" s="11" t="inlineStr">
        <is>
          <t>Luzzi</t>
        </is>
      </c>
      <c r="L86" s="39" t="n">
        <v>46307</v>
      </c>
      <c r="M86" s="11" t="n"/>
      <c r="N86" s="11" t="inlineStr">
        <is>
          <t>Comido el fantasma: vidas de Pacman 3 → 3; Pacman siguió desde (4, 3) (no volvió al inicio); esferas 96 → 96. El nivel no se reinició.</t>
        </is>
      </c>
      <c r="P86" s="7" t="inlineStr">
        <is>
          <t>E2 — PowerUp e interacción con fantasmas</t>
        </is>
      </c>
      <c r="Q86" s="8">
        <f>COUNTIF($C$4:$C$132,"E2")</f>
        <v/>
      </c>
      <c r="R86" s="8">
        <f>COUNTIFS($C$4:$C$132,"E2",$I$4:$I$132,"Aprobado")+COUNTIFS($C$4:$C$132,"E2",$I$4:$I$132,"Fallido")</f>
        <v/>
      </c>
      <c r="S86" s="8">
        <f>COUNTIFS($C$4:$C$132,"E2",$I$4:$I$132,"Aprobado")</f>
        <v/>
      </c>
      <c r="T86" s="8">
        <f>COUNTIFS($C$4:$C$132,"E2",$I$4:$I$132,"Fallido")</f>
        <v/>
      </c>
      <c r="U86" s="8">
        <f>COUNTIFS($C$4:$C$132,"E2",$I$4:$I$132,"Bloqueado")</f>
        <v/>
      </c>
      <c r="V86" s="41">
        <f>IFERROR(S86/R86,0)</f>
        <v/>
      </c>
    </row>
    <row r="87" ht="55.8" customHeight="1">
      <c r="A87" s="6" t="inlineStr">
        <is>
          <t>CP-084</t>
        </is>
      </c>
      <c r="B87" s="7" t="inlineStr">
        <is>
          <t>Nuevo (V2)</t>
        </is>
      </c>
      <c r="C87" s="8" t="inlineStr">
        <is>
          <t>E7</t>
        </is>
      </c>
      <c r="D87" s="9" t="inlineStr">
        <is>
          <t>Alta</t>
        </is>
      </c>
      <c r="E87" s="7" t="inlineStr">
        <is>
          <t>Espectro: atravesar una pared</t>
        </is>
      </c>
      <c r="F87" s="8" t="inlineStr">
        <is>
          <t>HU-28</t>
        </is>
      </c>
      <c r="G87" s="8" t="inlineStr">
        <is>
          <t>Sí</t>
        </is>
      </c>
      <c r="H87" s="8" t="inlineStr">
        <is>
          <t>—</t>
        </is>
      </c>
      <c r="I87" s="10" t="inlineStr">
        <is>
          <t>Aprobado</t>
        </is>
      </c>
      <c r="J87" s="8">
        <f>IF(OR(H87="—",I87="",I87="No ejecutado"),"—",IF(H87=I87,"No","Sí"))</f>
        <v/>
      </c>
      <c r="K87" s="11" t="inlineStr">
        <is>
          <t>Luzzi</t>
        </is>
      </c>
      <c r="L87" s="39" t="n">
        <v>46307</v>
      </c>
      <c r="M87" s="11" t="n"/>
      <c r="N87" s="11" t="inlineStr">
        <is>
          <t>Nivel 2, espectro en (1,7) mirando a la derecha con el muro de una celda (1,8): atravesó y quedó en (1, 10), del otro lado. Precondición preparada por script (posiciones y fantasmas de la IA retirados) para aislar la condición.</t>
        </is>
      </c>
      <c r="P87" s="7" t="inlineStr">
        <is>
          <t>E3 — Vidas, puntaje y fin de partida</t>
        </is>
      </c>
      <c r="Q87" s="8">
        <f>COUNTIF($C$4:$C$132,"E3")</f>
        <v/>
      </c>
      <c r="R87" s="8">
        <f>COUNTIFS($C$4:$C$132,"E3",$I$4:$I$132,"Aprobado")+COUNTIFS($C$4:$C$132,"E3",$I$4:$I$132,"Fallido")</f>
        <v/>
      </c>
      <c r="S87" s="8">
        <f>COUNTIFS($C$4:$C$132,"E3",$I$4:$I$132,"Aprobado")</f>
        <v/>
      </c>
      <c r="T87" s="8">
        <f>COUNTIFS($C$4:$C$132,"E3",$I$4:$I$132,"Fallido")</f>
        <v/>
      </c>
      <c r="U87" s="8">
        <f>COUNTIFS($C$4:$C$132,"E3",$I$4:$I$132,"Bloqueado")</f>
        <v/>
      </c>
      <c r="V87" s="41">
        <f>IFERROR(S87/R87,0)</f>
        <v/>
      </c>
    </row>
    <row r="88" ht="69" customHeight="1">
      <c r="A88" s="6" t="inlineStr">
        <is>
          <t>CP-085</t>
        </is>
      </c>
      <c r="B88" s="7" t="inlineStr">
        <is>
          <t>Nuevo (V2)</t>
        </is>
      </c>
      <c r="C88" s="8" t="inlineStr">
        <is>
          <t>E7</t>
        </is>
      </c>
      <c r="D88" s="9" t="inlineStr">
        <is>
          <t>Alta</t>
        </is>
      </c>
      <c r="E88" s="7" t="inlineStr">
        <is>
          <t>Espectro: cooldown y estado de gracia</t>
        </is>
      </c>
      <c r="F88" s="8" t="inlineStr">
        <is>
          <t>HU-28</t>
        </is>
      </c>
      <c r="G88" s="8" t="inlineStr">
        <is>
          <t>No</t>
        </is>
      </c>
      <c r="H88" s="8" t="inlineStr">
        <is>
          <t>—</t>
        </is>
      </c>
      <c r="I88" s="10" t="inlineStr">
        <is>
          <t>Aprobado</t>
        </is>
      </c>
      <c r="J88" s="8">
        <f>IF(OR(H88="—",I88="",I88="No ejecutado"),"—",IF(H88=I88,"No","Sí"))</f>
        <v/>
      </c>
      <c r="K88" s="11" t="inlineStr">
        <is>
          <t>Luzzi</t>
        </is>
      </c>
      <c r="L88" s="39" t="n">
        <v>46307</v>
      </c>
      <c r="M88" s="11" t="n"/>
      <c r="N88" s="11" t="inlineStr">
        <is>
          <t>Tras cruzar, el contacto con Pacman dentro de los 3 s no le quitó vidas (3 → 3); el espectro se ve translúcido y punteado. Espacio en cooldown no tuvo efecto; la estrella volvió a los 10 s. Precondición preparada por script (posiciones y fantasmas de la IA retirados) para aislar la condición.</t>
        </is>
      </c>
      <c r="P88" s="7" t="inlineStr">
        <is>
          <t>E4 — Niveles y progresión de dificultad</t>
        </is>
      </c>
      <c r="Q88" s="8">
        <f>COUNTIF($C$4:$C$132,"E4")</f>
        <v/>
      </c>
      <c r="R88" s="8">
        <f>COUNTIFS($C$4:$C$132,"E4",$I$4:$I$132,"Aprobado")+COUNTIFS($C$4:$C$132,"E4",$I$4:$I$132,"Fallido")</f>
        <v/>
      </c>
      <c r="S88" s="8">
        <f>COUNTIFS($C$4:$C$132,"E4",$I$4:$I$132,"Aprobado")</f>
        <v/>
      </c>
      <c r="T88" s="8">
        <f>COUNTIFS($C$4:$C$132,"E4",$I$4:$I$132,"Fallido")</f>
        <v/>
      </c>
      <c r="U88" s="8">
        <f>COUNTIFS($C$4:$C$132,"E4",$I$4:$I$132,"Bloqueado")</f>
        <v/>
      </c>
      <c r="V88" s="41">
        <f>IFERROR(S88/R88,0)</f>
        <v/>
      </c>
    </row>
    <row r="89" ht="55.8" customHeight="1">
      <c r="A89" s="6" t="inlineStr">
        <is>
          <t>CP-086</t>
        </is>
      </c>
      <c r="B89" s="7" t="inlineStr">
        <is>
          <t>Nuevo (V2)</t>
        </is>
      </c>
      <c r="C89" s="8" t="inlineStr">
        <is>
          <t>E7</t>
        </is>
      </c>
      <c r="D89" s="9" t="inlineStr">
        <is>
          <t>Media</t>
        </is>
      </c>
      <c r="E89" s="7" t="inlineStr">
        <is>
          <t>Espectro: sin destino válido no se activa</t>
        </is>
      </c>
      <c r="F89" s="8" t="inlineStr">
        <is>
          <t>HU-28</t>
        </is>
      </c>
      <c r="G89" s="8" t="inlineStr">
        <is>
          <t>No</t>
        </is>
      </c>
      <c r="H89" s="8" t="inlineStr">
        <is>
          <t>—</t>
        </is>
      </c>
      <c r="I89" s="10" t="inlineStr">
        <is>
          <t>Aprobado</t>
        </is>
      </c>
      <c r="J89" s="8">
        <f>IF(OR(H89="—",I89="",I89="No ejecutado"),"—",IF(H89=I89,"No","Sí"))</f>
        <v/>
      </c>
      <c r="K89" s="11" t="inlineStr">
        <is>
          <t>Luzzi</t>
        </is>
      </c>
      <c r="L89" s="39" t="n">
        <v>46307</v>
      </c>
      <c r="M89" s="11" t="n"/>
      <c r="N89" s="11" t="inlineStr">
        <is>
          <t>Nivel 1: contra el muro grueso de abajo no atravesó; contra el borde superior no salió del mapa. La estrella siguió disponible en los dos intentos. Precondición preparada por script (posiciones y fantasmas de la IA retirados) para aislar la condición.</t>
        </is>
      </c>
      <c r="P89" s="7" t="inlineStr">
        <is>
          <t>E5 — Control de la partida</t>
        </is>
      </c>
      <c r="Q89" s="8">
        <f>COUNTIF($C$4:$C$132,"E5")</f>
        <v/>
      </c>
      <c r="R89" s="8">
        <f>COUNTIFS($C$4:$C$132,"E5",$I$4:$I$132,"Aprobado")+COUNTIFS($C$4:$C$132,"E5",$I$4:$I$132,"Fallido")</f>
        <v/>
      </c>
      <c r="S89" s="8">
        <f>COUNTIFS($C$4:$C$132,"E5",$I$4:$I$132,"Aprobado")</f>
        <v/>
      </c>
      <c r="T89" s="8">
        <f>COUNTIFS($C$4:$C$132,"E5",$I$4:$I$132,"Fallido")</f>
        <v/>
      </c>
      <c r="U89" s="8">
        <f>COUNTIFS($C$4:$C$132,"E5",$I$4:$I$132,"Bloqueado")</f>
        <v/>
      </c>
      <c r="V89" s="41">
        <f>IFERROR(S89/R89,0)</f>
        <v/>
      </c>
    </row>
    <row r="90" ht="42.59999999999999" customHeight="1">
      <c r="A90" s="6" t="inlineStr">
        <is>
          <t>CP-087</t>
        </is>
      </c>
      <c r="B90" s="7" t="inlineStr">
        <is>
          <t>Nuevo (V2)</t>
        </is>
      </c>
      <c r="C90" s="8" t="inlineStr">
        <is>
          <t>E7</t>
        </is>
      </c>
      <c r="D90" s="9" t="inlineStr">
        <is>
          <t>Alta</t>
        </is>
      </c>
      <c r="E90" s="7" t="inlineStr">
        <is>
          <t>Saltarín: destino dentro del radio y transitable</t>
        </is>
      </c>
      <c r="F90" s="8" t="inlineStr">
        <is>
          <t>HU-29</t>
        </is>
      </c>
      <c r="G90" s="8" t="inlineStr">
        <is>
          <t>Sí</t>
        </is>
      </c>
      <c r="H90" s="8" t="inlineStr">
        <is>
          <t>—</t>
        </is>
      </c>
      <c r="I90" s="10" t="inlineStr">
        <is>
          <t>Aprobado</t>
        </is>
      </c>
      <c r="J90" s="8">
        <f>IF(OR(H90="—",I90="",I90="No ejecutado"),"—",IF(H90=I90,"No","Sí"))</f>
        <v/>
      </c>
      <c r="K90" s="11" t="inlineStr">
        <is>
          <t>Luzzi</t>
        </is>
      </c>
      <c r="L90" s="39" t="n">
        <v>46307</v>
      </c>
      <c r="M90" s="11" t="n"/>
      <c r="N90" s="11" t="inlineStr">
        <is>
          <t>10 saltos; distancias Manhattan [4, 6, 5, 9, 5, 6, 7, 5, 9, 8]; todos a celdas transitables dentro del mapa. (Cooldown anulado por script entre saltos para no esperar 100 s.)</t>
        </is>
      </c>
      <c r="P90" s="7" t="inlineStr">
        <is>
          <t>E6 — Modo GhostMan</t>
        </is>
      </c>
      <c r="Q90" s="8">
        <f>COUNTIF($C$4:$C$132,"E6")</f>
        <v/>
      </c>
      <c r="R90" s="8">
        <f>COUNTIFS($C$4:$C$132,"E6",$I$4:$I$132,"Aprobado")+COUNTIFS($C$4:$C$132,"E6",$I$4:$I$132,"Fallido")</f>
        <v/>
      </c>
      <c r="S90" s="8">
        <f>COUNTIFS($C$4:$C$132,"E6",$I$4:$I$132,"Aprobado")</f>
        <v/>
      </c>
      <c r="T90" s="8">
        <f>COUNTIFS($C$4:$C$132,"E6",$I$4:$I$132,"Fallido")</f>
        <v/>
      </c>
      <c r="U90" s="8">
        <f>COUNTIFS($C$4:$C$132,"E6",$I$4:$I$132,"Bloqueado")</f>
        <v/>
      </c>
      <c r="V90" s="41">
        <f>IFERROR(S90/R90,0)</f>
        <v/>
      </c>
    </row>
    <row r="91" ht="29.4" customHeight="1">
      <c r="A91" s="6" t="inlineStr">
        <is>
          <t>CP-088</t>
        </is>
      </c>
      <c r="B91" s="7" t="inlineStr">
        <is>
          <t>Nuevo (V2)</t>
        </is>
      </c>
      <c r="C91" s="8" t="inlineStr">
        <is>
          <t>E7</t>
        </is>
      </c>
      <c r="D91" s="9" t="inlineStr">
        <is>
          <t>Media</t>
        </is>
      </c>
      <c r="E91" s="7" t="inlineStr">
        <is>
          <t>Saltarín: cooldown de 10 s</t>
        </is>
      </c>
      <c r="F91" s="8" t="inlineStr">
        <is>
          <t>HU-29</t>
        </is>
      </c>
      <c r="G91" s="8" t="inlineStr">
        <is>
          <t>No</t>
        </is>
      </c>
      <c r="H91" s="8" t="inlineStr">
        <is>
          <t>—</t>
        </is>
      </c>
      <c r="I91" s="10" t="inlineStr">
        <is>
          <t>Aprobado</t>
        </is>
      </c>
      <c r="J91" s="8">
        <f>IF(OR(H91="—",I91="",I91="No ejecutado"),"—",IF(H91=I91,"No","Sí"))</f>
        <v/>
      </c>
      <c r="K91" s="11" t="inlineStr">
        <is>
          <t>Luzzi</t>
        </is>
      </c>
      <c r="L91" s="39" t="n">
        <v>46307</v>
      </c>
      <c r="M91" s="11" t="n"/>
      <c r="N91" s="11" t="inlineStr">
        <is>
          <t>A los 9 s espacio no hizo nada; el poder volvió a los 9.92 s y saltó.</t>
        </is>
      </c>
      <c r="P91" s="7" t="inlineStr">
        <is>
          <t>E7 — Poderes de los fantasmas</t>
        </is>
      </c>
      <c r="Q91" s="8">
        <f>COUNTIF($C$4:$C$132,"E7")</f>
        <v/>
      </c>
      <c r="R91" s="8">
        <f>COUNTIFS($C$4:$C$132,"E7",$I$4:$I$132,"Aprobado")+COUNTIFS($C$4:$C$132,"E7",$I$4:$I$132,"Fallido")</f>
        <v/>
      </c>
      <c r="S91" s="8">
        <f>COUNTIFS($C$4:$C$132,"E7",$I$4:$I$132,"Aprobado")</f>
        <v/>
      </c>
      <c r="T91" s="8">
        <f>COUNTIFS($C$4:$C$132,"E7",$I$4:$I$132,"Fallido")</f>
        <v/>
      </c>
      <c r="U91" s="8">
        <f>COUNTIFS($C$4:$C$132,"E7",$I$4:$I$132,"Bloqueado")</f>
        <v/>
      </c>
      <c r="V91" s="41">
        <f>IFERROR(S91/R91,0)</f>
        <v/>
      </c>
    </row>
    <row r="92" ht="42.59999999999999" customHeight="1">
      <c r="A92" s="6" t="inlineStr">
        <is>
          <t>CP-089</t>
        </is>
      </c>
      <c r="B92" s="7" t="inlineStr">
        <is>
          <t>Nuevo (V2)</t>
        </is>
      </c>
      <c r="C92" s="8" t="inlineStr">
        <is>
          <t>E7</t>
        </is>
      </c>
      <c r="D92" s="9" t="inlineStr">
        <is>
          <t>Media</t>
        </is>
      </c>
      <c r="E92" s="7" t="inlineStr">
        <is>
          <t>Saltarín: salto sobre Pacman</t>
        </is>
      </c>
      <c r="F92" s="8" t="inlineStr">
        <is>
          <t>HU-29</t>
        </is>
      </c>
      <c r="G92" s="8" t="inlineStr">
        <is>
          <t>No</t>
        </is>
      </c>
      <c r="H92" s="8" t="inlineStr">
        <is>
          <t>—</t>
        </is>
      </c>
      <c r="I92" s="10" t="inlineStr">
        <is>
          <t>Aprobado</t>
        </is>
      </c>
      <c r="J92" s="8">
        <f>IF(OR(H92="—",I92="",I92="No ejecutado"),"—",IF(H92=I92,"No","Sí"))</f>
        <v/>
      </c>
      <c r="K92" s="11" t="inlineStr">
        <is>
          <t>Luzzi</t>
        </is>
      </c>
      <c r="L92" s="39" t="n">
        <v>46307</v>
      </c>
      <c r="M92" s="11" t="n"/>
      <c r="N92" s="11" t="inlineStr">
        <is>
          <t>Repitiendo el salto desde (1,1) con Pacman quieto en (1,3), en el intento 10 el saltarín cayó sobre Pacman: vidas 3 → 2. (Cooldown anulado por script.)</t>
        </is>
      </c>
      <c r="P92" s="7" t="inlineStr">
        <is>
          <t>E8 — Dificultad del modo GhostMan</t>
        </is>
      </c>
      <c r="Q92" s="8">
        <f>COUNTIF($C$4:$C$132,"E8")</f>
        <v/>
      </c>
      <c r="R92" s="8">
        <f>COUNTIFS($C$4:$C$132,"E8",$I$4:$I$132,"Aprobado")+COUNTIFS($C$4:$C$132,"E8",$I$4:$I$132,"Fallido")</f>
        <v/>
      </c>
      <c r="S92" s="8">
        <f>COUNTIFS($C$4:$C$132,"E8",$I$4:$I$132,"Aprobado")</f>
        <v/>
      </c>
      <c r="T92" s="8">
        <f>COUNTIFS($C$4:$C$132,"E8",$I$4:$I$132,"Fallido")</f>
        <v/>
      </c>
      <c r="U92" s="8">
        <f>COUNTIFS($C$4:$C$132,"E8",$I$4:$I$132,"Bloqueado")</f>
        <v/>
      </c>
      <c r="V92" s="41">
        <f>IFERROR(S92/R92,0)</f>
        <v/>
      </c>
    </row>
    <row r="93" ht="55.8" customHeight="1">
      <c r="A93" s="6" t="inlineStr">
        <is>
          <t>CP-090</t>
        </is>
      </c>
      <c r="B93" s="7" t="inlineStr">
        <is>
          <t>Nuevo (V2)</t>
        </is>
      </c>
      <c r="C93" s="8" t="inlineStr">
        <is>
          <t>E7</t>
        </is>
      </c>
      <c r="D93" s="9" t="inlineStr">
        <is>
          <t>Alta</t>
        </is>
      </c>
      <c r="E93" s="7" t="inlineStr">
        <is>
          <t>Naval: fruta falsa consumida por Pacman</t>
        </is>
      </c>
      <c r="F93" s="8" t="inlineStr">
        <is>
          <t>HU-30</t>
        </is>
      </c>
      <c r="G93" s="8" t="inlineStr">
        <is>
          <t>Sí</t>
        </is>
      </c>
      <c r="H93" s="8" t="inlineStr">
        <is>
          <t>—</t>
        </is>
      </c>
      <c r="I93" s="10" t="inlineStr">
        <is>
          <t>Aprobado</t>
        </is>
      </c>
      <c r="J93" s="8">
        <f>IF(OR(H93="—",I93="",I93="No ejecutado"),"—",IF(H93=I93,"No","Sí"))</f>
        <v/>
      </c>
      <c r="K93" s="11" t="inlineStr">
        <is>
          <t>Luzzi</t>
        </is>
      </c>
      <c r="L93" s="39" t="n">
        <v>46307</v>
      </c>
      <c r="M93" s="11" t="n"/>
      <c r="N93" s="11" t="inlineStr">
        <is>
          <t>El naval colocó la fruta falsa en (10,8), a 3 celdas de Pacman; Pacman fue por ella, la consumió y perdió una vida (3 → 2); el nivel se reinició (Pacman en (7, 8), fantasma en (1,1)). (Posiciones preparadas por script.)</t>
        </is>
      </c>
      <c r="P93" s="18" t="inlineStr">
        <is>
          <t>Total</t>
        </is>
      </c>
      <c r="Q93" s="19">
        <f>SUM(Q85:Q92)</f>
        <v/>
      </c>
      <c r="R93" s="19">
        <f>SUM(R85:R92)</f>
        <v/>
      </c>
      <c r="S93" s="19">
        <f>SUM(S85:S92)</f>
        <v/>
      </c>
      <c r="T93" s="19">
        <f>SUM(T85:T92)</f>
        <v/>
      </c>
      <c r="U93" s="19">
        <f>SUM(U85:U92)</f>
        <v/>
      </c>
      <c r="V93" s="42">
        <f>IFERROR(S93/R93,0)</f>
        <v/>
      </c>
    </row>
    <row r="94" ht="42.59999999999999" customHeight="1">
      <c r="A94" s="6" t="inlineStr">
        <is>
          <t>CP-091</t>
        </is>
      </c>
      <c r="B94" s="7" t="inlineStr">
        <is>
          <t>Nuevo (V2)</t>
        </is>
      </c>
      <c r="C94" s="8" t="inlineStr">
        <is>
          <t>E7</t>
        </is>
      </c>
      <c r="D94" s="9" t="inlineStr">
        <is>
          <t>Alta</t>
        </is>
      </c>
      <c r="E94" s="7" t="inlineStr">
        <is>
          <t>Naval: fruta falsa con el PowerUp de Pacman</t>
        </is>
      </c>
      <c r="F94" s="8" t="inlineStr">
        <is>
          <t>HU-30</t>
        </is>
      </c>
      <c r="G94" s="8" t="inlineStr">
        <is>
          <t>No</t>
        </is>
      </c>
      <c r="H94" s="8" t="inlineStr">
        <is>
          <t>—</t>
        </is>
      </c>
      <c r="I94" s="10" t="inlineStr">
        <is>
          <t>Aprobado</t>
        </is>
      </c>
      <c r="J94" s="8">
        <f>IF(OR(H94="—",I94="",I94="No ejecutado"),"—",IF(H94=I94,"No","Sí"))</f>
        <v/>
      </c>
      <c r="K94" s="11" t="inlineStr">
        <is>
          <t>Luzzi</t>
        </is>
      </c>
      <c r="L94" s="39" t="n">
        <v>46307</v>
      </c>
      <c r="M94" s="11" t="n"/>
      <c r="N94" s="11" t="inlineStr">
        <is>
          <t>Con el PowerUp activo Pacman consumió la fruta falsa: desapareció sin efecto (vidas 3 → 3; puntaje 0 → 0, sin descuento). (Posiciones preparadas por script.)</t>
        </is>
      </c>
    </row>
    <row r="95" ht="29.4" customHeight="1">
      <c r="A95" s="6" t="inlineStr">
        <is>
          <t>CP-092</t>
        </is>
      </c>
      <c r="B95" s="7" t="inlineStr">
        <is>
          <t>Nuevo (V2)</t>
        </is>
      </c>
      <c r="C95" s="8" t="inlineStr">
        <is>
          <t>E7</t>
        </is>
      </c>
      <c r="D95" s="9" t="inlineStr">
        <is>
          <t>Alta</t>
        </is>
      </c>
      <c r="E95" s="7" t="inlineStr">
        <is>
          <t>Naval: explosión a los 10 s</t>
        </is>
      </c>
      <c r="F95" s="8" t="inlineStr">
        <is>
          <t>HU-30</t>
        </is>
      </c>
      <c r="G95" s="8" t="inlineStr">
        <is>
          <t>Sí</t>
        </is>
      </c>
      <c r="H95" s="8" t="inlineStr">
        <is>
          <t>—</t>
        </is>
      </c>
      <c r="I95" s="10" t="inlineStr">
        <is>
          <t>Aprobado</t>
        </is>
      </c>
      <c r="J95" s="8">
        <f>IF(OR(H95="—",I95="",I95="No ejecutado"),"—",IF(H95=I95,"No","Sí"))</f>
        <v/>
      </c>
      <c r="K95" s="11" t="inlineStr">
        <is>
          <t>Luzzi</t>
        </is>
      </c>
      <c r="L95" s="39" t="n">
        <v>46307</v>
      </c>
      <c r="M95" s="11" t="n"/>
      <c r="N95" s="11" t="inlineStr">
        <is>
          <t>Explotó a los 9.92 s; cubrió 9 celdas, todas transitables y a ≤ 3 pasos (máx. Manhattan 3); se vio la cuenta regresiva desde los 7 s.</t>
        </is>
      </c>
      <c r="P95" s="4" t="inlineStr">
        <is>
          <t>Organización del equipo de testing (sección 6.1)</t>
        </is>
      </c>
      <c r="Q95" s="23" t="n"/>
      <c r="R95" s="23" t="n"/>
      <c r="S95" s="24" t="n"/>
    </row>
    <row r="96" ht="69" customHeight="1">
      <c r="A96" s="6" t="inlineStr">
        <is>
          <t>CP-093</t>
        </is>
      </c>
      <c r="B96" s="7" t="inlineStr">
        <is>
          <t>Nuevo (V2)</t>
        </is>
      </c>
      <c r="C96" s="8" t="inlineStr">
        <is>
          <t>E7</t>
        </is>
      </c>
      <c r="D96" s="9" t="inlineStr">
        <is>
          <t>Media</t>
        </is>
      </c>
      <c r="E96" s="7" t="inlineStr">
        <is>
          <t>Naval: máximo de 2 frutas y cooldown de 5 s</t>
        </is>
      </c>
      <c r="F96" s="8" t="inlineStr">
        <is>
          <t>HU-30</t>
        </is>
      </c>
      <c r="G96" s="8" t="inlineStr">
        <is>
          <t>No</t>
        </is>
      </c>
      <c r="H96" s="8" t="inlineStr">
        <is>
          <t>—</t>
        </is>
      </c>
      <c r="I96" s="10" t="inlineStr">
        <is>
          <t>Aprobado</t>
        </is>
      </c>
      <c r="J96" s="8">
        <f>IF(OR(H96="—",I96="",I96="No ejecutado"),"—",IF(H96=I96,"No","Sí"))</f>
        <v/>
      </c>
      <c r="K96" s="11" t="inlineStr">
        <is>
          <t>Luzzi</t>
        </is>
      </c>
      <c r="L96" s="39" t="n">
        <v>46307</v>
      </c>
      <c r="M96" s="11" t="n"/>
      <c r="N96" s="11" t="inlineStr">
        <is>
          <t>A los 3 s no colocó (quedó 1); a los 5 s colocó la segunda (2); con 2 en el mapa, la tercera no se colocó (2) y el poder no se consumió (cooldown 0). (Para el tercer intento el cooldown se anuló por script: con 5 s de cooldown y 10 s de vida, la primera fruta explota justo cuando vuelve el poder.)</t>
        </is>
      </c>
      <c r="P96" s="13" t="inlineStr">
        <is>
          <t>Test Lead</t>
        </is>
      </c>
      <c r="Q96" s="7" t="inlineStr">
        <is>
          <t>Savoia</t>
        </is>
      </c>
      <c r="R96" s="23" t="n"/>
      <c r="S96" s="24" t="n"/>
    </row>
    <row r="97" ht="29.4" customHeight="1">
      <c r="A97" s="6" t="inlineStr">
        <is>
          <t>CP-094</t>
        </is>
      </c>
      <c r="B97" s="7" t="inlineStr">
        <is>
          <t>Nuevo (V2)</t>
        </is>
      </c>
      <c r="C97" s="8" t="inlineStr">
        <is>
          <t>E7</t>
        </is>
      </c>
      <c r="D97" s="9" t="inlineStr">
        <is>
          <t>Media</t>
        </is>
      </c>
      <c r="E97" s="7" t="inlineStr">
        <is>
          <t>Naval: fruta falsa distinguible de la real</t>
        </is>
      </c>
      <c r="F97" s="8" t="inlineStr">
        <is>
          <t>HU-30</t>
        </is>
      </c>
      <c r="G97" s="8" t="inlineStr">
        <is>
          <t>No</t>
        </is>
      </c>
      <c r="H97" s="8" t="inlineStr">
        <is>
          <t>—</t>
        </is>
      </c>
      <c r="I97" s="10" t="inlineStr">
        <is>
          <t>Aprobado</t>
        </is>
      </c>
      <c r="J97" s="8">
        <f>IF(OR(H97="—",I97="",I97="No ejecutado"),"—",IF(H97=I97,"No","Sí"))</f>
        <v/>
      </c>
      <c r="K97" s="11" t="inlineStr">
        <is>
          <t>Luzzi</t>
        </is>
      </c>
      <c r="L97" s="39" t="n">
        <v>46307</v>
      </c>
      <c r="M97" s="11" t="n"/>
      <c r="N97" s="11" t="inlineStr">
        <is>
          <t>Fruta real (cereza roja) en (1,6) y fruta falsa en (1,4): se distinguen a la vista (ver captura CP-094.png).</t>
        </is>
      </c>
      <c r="P97" s="13" t="inlineStr">
        <is>
          <t>Diseño de casos de prueba (V2) y mutación de la regresión</t>
        </is>
      </c>
      <c r="Q97" s="7" t="inlineStr">
        <is>
          <t>Luzzi</t>
        </is>
      </c>
      <c r="R97" s="23" t="n"/>
      <c r="S97" s="24" t="n"/>
    </row>
    <row r="98" ht="29.4" customHeight="1">
      <c r="A98" s="6" t="inlineStr">
        <is>
          <t>CP-095</t>
        </is>
      </c>
      <c r="B98" s="7" t="inlineStr">
        <is>
          <t>Nuevo (V2)</t>
        </is>
      </c>
      <c r="C98" s="8" t="inlineStr">
        <is>
          <t>E7</t>
        </is>
      </c>
      <c r="D98" s="9" t="inlineStr">
        <is>
          <t>Alta</t>
        </is>
      </c>
      <c r="E98" s="7" t="inlineStr">
        <is>
          <t>Acelerado: dash de hasta 3 celdas</t>
        </is>
      </c>
      <c r="F98" s="8" t="inlineStr">
        <is>
          <t>HU-31</t>
        </is>
      </c>
      <c r="G98" s="8" t="inlineStr">
        <is>
          <t>Sí</t>
        </is>
      </c>
      <c r="H98" s="8" t="inlineStr">
        <is>
          <t>—</t>
        </is>
      </c>
      <c r="I98" s="10" t="inlineStr">
        <is>
          <t>Aprobado</t>
        </is>
      </c>
      <c r="J98" s="8">
        <f>IF(OR(H98="—",I98="",I98="No ejecutado"),"—",IF(H98=I98,"No","Sí"))</f>
        <v/>
      </c>
      <c r="K98" s="11" t="inlineStr">
        <is>
          <t>Luzzi</t>
        </is>
      </c>
      <c r="L98" s="39" t="n">
        <v>46307</v>
      </c>
      <c r="M98" s="11" t="n"/>
      <c r="N98" s="11" t="inlineStr">
        <is>
          <t>Desde (1,4) con pasillo libre avanzó 3 celdas (col 7); desde (1,13) con el borde a 2 celdas se detuvo en la última transitable (col 15).</t>
        </is>
      </c>
      <c r="P98" s="13" t="inlineStr">
        <is>
          <t>Ejecución y reporte de defectos (V2)</t>
        </is>
      </c>
      <c r="Q98" s="7" t="inlineStr">
        <is>
          <t>Luzzi</t>
        </is>
      </c>
      <c r="R98" s="23" t="n"/>
      <c r="S98" s="24" t="n"/>
    </row>
    <row r="99" ht="29.4" customHeight="1">
      <c r="A99" s="6" t="inlineStr">
        <is>
          <t>CP-096</t>
        </is>
      </c>
      <c r="B99" s="7" t="inlineStr">
        <is>
          <t>Nuevo (V2)</t>
        </is>
      </c>
      <c r="C99" s="8" t="inlineStr">
        <is>
          <t>E7</t>
        </is>
      </c>
      <c r="D99" s="9" t="inlineStr">
        <is>
          <t>Alta</t>
        </is>
      </c>
      <c r="E99" s="7" t="inlineStr">
        <is>
          <t>Acelerado: penalidad de velocidad posterior</t>
        </is>
      </c>
      <c r="F99" s="8" t="inlineStr">
        <is>
          <t>HU-31</t>
        </is>
      </c>
      <c r="G99" s="8" t="inlineStr">
        <is>
          <t>No</t>
        </is>
      </c>
      <c r="H99" s="8" t="inlineStr">
        <is>
          <t>—</t>
        </is>
      </c>
      <c r="I99" s="10" t="inlineStr">
        <is>
          <t>Aprobado</t>
        </is>
      </c>
      <c r="J99" s="8">
        <f>IF(OR(H99="—",I99="",I99="No ejecutado"),"—",IF(H99=I99,"No","Sí"))</f>
        <v/>
      </c>
      <c r="K99" s="11" t="inlineStr">
        <is>
          <t>Luzzi</t>
        </is>
      </c>
      <c r="L99" s="39" t="n">
        <v>46307</v>
      </c>
      <c r="M99" s="11" t="n"/>
      <c r="N99" s="11" t="inlineStr">
        <is>
          <t>Después del dash: 2.46 celdas/s; pasados los 5 s: 5.00 celdas/s. Re-ejecutado el 28/10/2026 con la velocidad reducida un 25 % (decisión 39): Aprobado; ver el ciclo 3 en la hoja del caso.</t>
        </is>
      </c>
    </row>
    <row r="100" ht="29.4" customHeight="1">
      <c r="A100" s="6" t="inlineStr">
        <is>
          <t>CP-097</t>
        </is>
      </c>
      <c r="B100" s="7" t="inlineStr">
        <is>
          <t>Nuevo (V2)</t>
        </is>
      </c>
      <c r="C100" s="8" t="inlineStr">
        <is>
          <t>E7</t>
        </is>
      </c>
      <c r="D100" s="9" t="inlineStr">
        <is>
          <t>Baja</t>
        </is>
      </c>
      <c r="E100" s="7" t="inlineStr">
        <is>
          <t>Acelerado: dash sin dirección de avance</t>
        </is>
      </c>
      <c r="F100" s="8" t="inlineStr">
        <is>
          <t>HU-31</t>
        </is>
      </c>
      <c r="G100" s="8" t="inlineStr">
        <is>
          <t>No</t>
        </is>
      </c>
      <c r="H100" s="8" t="inlineStr">
        <is>
          <t>—</t>
        </is>
      </c>
      <c r="I100" s="10" t="inlineStr">
        <is>
          <t>Aprobado</t>
        </is>
      </c>
      <c r="J100" s="8">
        <f>IF(OR(H100="—",I100="",I100="No ejecutado"),"—",IF(H100=I100,"No","Sí"))</f>
        <v/>
      </c>
      <c r="K100" s="11" t="inlineStr">
        <is>
          <t>Luzzi</t>
        </is>
      </c>
      <c r="L100" s="39" t="n">
        <v>46307</v>
      </c>
      <c r="M100" s="11" t="n"/>
      <c r="N100" s="11" t="inlineStr">
        <is>
          <t>Sin moverlo desde la aparición, espacio no lo desplazó y la estrella siguió disponible.</t>
        </is>
      </c>
    </row>
    <row r="101" ht="29.4" customHeight="1">
      <c r="A101" s="6" t="inlineStr">
        <is>
          <t>CP-098</t>
        </is>
      </c>
      <c r="B101" s="7" t="inlineStr">
        <is>
          <t>Nuevo (V2)</t>
        </is>
      </c>
      <c r="C101" s="8" t="inlineStr">
        <is>
          <t>E7</t>
        </is>
      </c>
      <c r="D101" s="9" t="inlineStr">
        <is>
          <t>Media</t>
        </is>
      </c>
      <c r="E101" s="7" t="inlineStr">
        <is>
          <t>Indicador de poder disponible</t>
        </is>
      </c>
      <c r="F101" s="8" t="inlineStr">
        <is>
          <t>HU-32</t>
        </is>
      </c>
      <c r="G101" s="8" t="inlineStr">
        <is>
          <t>Sí</t>
        </is>
      </c>
      <c r="H101" s="8" t="inlineStr">
        <is>
          <t>—</t>
        </is>
      </c>
      <c r="I101" s="10" t="inlineStr">
        <is>
          <t>Aprobado</t>
        </is>
      </c>
      <c r="J101" s="8">
        <f>IF(OR(H101="—",I101="",I101="No ejecutado"),"—",IF(H101=I101,"No","Sí"))</f>
        <v/>
      </c>
      <c r="K101" s="11" t="inlineStr">
        <is>
          <t>Luzzi</t>
        </is>
      </c>
      <c r="L101" s="39" t="n">
        <v>46307</v>
      </c>
      <c r="M101" s="11" t="n"/>
      <c r="N101" s="11" t="inlineStr">
        <is>
          <t>Estrella encendida abajo a la izquierda junto a las vidas; se apagó al saltar y volvió a encenderse a los 9.93 s.</t>
        </is>
      </c>
    </row>
    <row r="102" ht="29.4" customHeight="1">
      <c r="A102" s="6" t="inlineStr">
        <is>
          <t>CP-099</t>
        </is>
      </c>
      <c r="B102" s="7" t="inlineStr">
        <is>
          <t>Nuevo (V2)</t>
        </is>
      </c>
      <c r="C102" s="8" t="inlineStr">
        <is>
          <t>E7</t>
        </is>
      </c>
      <c r="D102" s="9" t="inlineStr">
        <is>
          <t>Baja</t>
        </is>
      </c>
      <c r="E102" s="7" t="inlineStr">
        <is>
          <t>Sin indicador para el fantasma clásico</t>
        </is>
      </c>
      <c r="F102" s="8" t="inlineStr">
        <is>
          <t>HU-32</t>
        </is>
      </c>
      <c r="G102" s="8" t="inlineStr">
        <is>
          <t>No</t>
        </is>
      </c>
      <c r="H102" s="8" t="inlineStr">
        <is>
          <t>—</t>
        </is>
      </c>
      <c r="I102" s="10" t="inlineStr">
        <is>
          <t>Aprobado</t>
        </is>
      </c>
      <c r="J102" s="8">
        <f>IF(OR(H102="—",I102="",I102="No ejecutado"),"—",IF(H102=I102,"No","Sí"))</f>
        <v/>
      </c>
      <c r="K102" s="11" t="inlineStr">
        <is>
          <t>Luzzi</t>
        </is>
      </c>
      <c r="L102" s="39" t="n">
        <v>46307</v>
      </c>
      <c r="M102" s="11" t="n"/>
      <c r="N102" s="11" t="inlineStr">
        <is>
          <t>Con el Clásico la barra inferior muestra solo las vidas de Pacman; sin estrella, y espacio no hace nada.</t>
        </is>
      </c>
    </row>
    <row r="103" ht="29.4" customHeight="1">
      <c r="A103" s="6" t="inlineStr">
        <is>
          <t>CP-100</t>
        </is>
      </c>
      <c r="B103" s="7" t="inlineStr">
        <is>
          <t>Nuevo (V2)</t>
        </is>
      </c>
      <c r="C103" s="8" t="inlineStr">
        <is>
          <t>E7</t>
        </is>
      </c>
      <c r="D103" s="9" t="inlineStr">
        <is>
          <t>Media</t>
        </is>
      </c>
      <c r="E103" s="7" t="inlineStr">
        <is>
          <t>Espacio durante el cooldown sin efecto</t>
        </is>
      </c>
      <c r="F103" s="8" t="inlineStr">
        <is>
          <t>HU-32</t>
        </is>
      </c>
      <c r="G103" s="8" t="inlineStr">
        <is>
          <t>No</t>
        </is>
      </c>
      <c r="H103" s="8" t="inlineStr">
        <is>
          <t>—</t>
        </is>
      </c>
      <c r="I103" s="10" t="inlineStr">
        <is>
          <t>Aprobado</t>
        </is>
      </c>
      <c r="J103" s="8">
        <f>IF(OR(H103="—",I103="",I103="No ejecutado"),"—",IF(H103=I103,"No","Sí"))</f>
        <v/>
      </c>
      <c r="K103" s="11" t="inlineStr">
        <is>
          <t>Luzzi</t>
        </is>
      </c>
      <c r="L103" s="39" t="n">
        <v>46307</v>
      </c>
      <c r="M103" s="11" t="n"/>
      <c r="N103" s="11" t="inlineStr">
        <is>
          <t>5 pulsaciones de espacio en cooldown: no se colocó otra fruta y el cooldown siguió bajando (4.42 → 3.88 s).</t>
        </is>
      </c>
    </row>
    <row r="104" ht="42.59999999999999" customHeight="1">
      <c r="A104" s="6" t="inlineStr">
        <is>
          <t>CP-101</t>
        </is>
      </c>
      <c r="B104" s="7" t="inlineStr">
        <is>
          <t>Nuevo (V2)</t>
        </is>
      </c>
      <c r="C104" s="8" t="inlineStr">
        <is>
          <t>E8</t>
        </is>
      </c>
      <c r="D104" s="9" t="inlineStr">
        <is>
          <t>Alta</t>
        </is>
      </c>
      <c r="E104" s="7" t="inlineStr">
        <is>
          <t>Pacman destruye hasta 5 paredes en el nivel 2</t>
        </is>
      </c>
      <c r="F104" s="8" t="inlineStr">
        <is>
          <t>HU-33</t>
        </is>
      </c>
      <c r="G104" s="8" t="inlineStr">
        <is>
          <t>Sí</t>
        </is>
      </c>
      <c r="H104" s="8" t="inlineStr">
        <is>
          <t>—</t>
        </is>
      </c>
      <c r="I104" s="10" t="inlineStr">
        <is>
          <t>Aprobado</t>
        </is>
      </c>
      <c r="J104" s="8">
        <f>IF(OR(H104="—",I104="",I104="No ejecutado"),"—",IF(H104=I104,"No","Sí"))</f>
        <v/>
      </c>
      <c r="K104" s="11" t="inlineStr">
        <is>
          <t>Luzzi</t>
        </is>
      </c>
      <c r="L104" s="39" t="n">
        <v>46307</v>
      </c>
      <c r="M104" s="11" t="n"/>
      <c r="N104" s="11" t="inlineStr">
        <is>
          <t>Nivel 2 sin interferencia: Pacman destruyó 2 paredes, como máximo 2 por esfera grande, ninguna del borde; las celdas rotas quedaron transitables.</t>
        </is>
      </c>
    </row>
    <row r="105" ht="29.4" customHeight="1">
      <c r="A105" s="6" t="inlineStr">
        <is>
          <t>CP-102</t>
        </is>
      </c>
      <c r="B105" s="7" t="inlineStr">
        <is>
          <t>Nuevo (V2)</t>
        </is>
      </c>
      <c r="C105" s="8" t="inlineStr">
        <is>
          <t>E8</t>
        </is>
      </c>
      <c r="D105" s="9" t="inlineStr">
        <is>
          <t>Alta</t>
        </is>
      </c>
      <c r="E105" s="7" t="inlineStr">
        <is>
          <t>El nivel 1 no habilita la destrucción de paredes</t>
        </is>
      </c>
      <c r="F105" s="8" t="inlineStr">
        <is>
          <t>HU-33</t>
        </is>
      </c>
      <c r="G105" s="8" t="inlineStr">
        <is>
          <t>No</t>
        </is>
      </c>
      <c r="H105" s="8" t="inlineStr">
        <is>
          <t>—</t>
        </is>
      </c>
      <c r="I105" s="10" t="inlineStr">
        <is>
          <t>Aprobado</t>
        </is>
      </c>
      <c r="J105" s="8">
        <f>IF(OR(H105="—",I105="",I105="No ejecutado"),"—",IF(H105=I105,"No","Sí"))</f>
        <v/>
      </c>
      <c r="K105" s="11" t="inlineStr">
        <is>
          <t>Luzzi</t>
        </is>
      </c>
      <c r="L105" s="39" t="n">
        <v>46307</v>
      </c>
      <c r="M105" s="11" t="n"/>
      <c r="N105" s="11" t="inlineStr">
        <is>
          <t>Nivel 1 durante 30 s, con Pacman comiendo esferas grandes: no se destruyó ninguna pared.</t>
        </is>
      </c>
    </row>
    <row r="106" ht="29.4" customHeight="1">
      <c r="A106" s="6" t="inlineStr">
        <is>
          <t>CP-103</t>
        </is>
      </c>
      <c r="B106" s="7" t="inlineStr">
        <is>
          <t>Nuevo (V2)</t>
        </is>
      </c>
      <c r="C106" s="8" t="inlineStr">
        <is>
          <t>E8</t>
        </is>
      </c>
      <c r="D106" s="9" t="inlineStr">
        <is>
          <t>Media</t>
        </is>
      </c>
      <c r="E106" s="7" t="inlineStr">
        <is>
          <t>Paredes restablecidas al reiniciarse el nivel</t>
        </is>
      </c>
      <c r="F106" s="8" t="inlineStr">
        <is>
          <t>HU-33</t>
        </is>
      </c>
      <c r="G106" s="8" t="inlineStr">
        <is>
          <t>No</t>
        </is>
      </c>
      <c r="H106" s="8" t="inlineStr">
        <is>
          <t>—</t>
        </is>
      </c>
      <c r="I106" s="10" t="inlineStr">
        <is>
          <t>Aprobado</t>
        </is>
      </c>
      <c r="J106" s="8">
        <f>IF(OR(H106="—",I106="",I106="No ejecutado"),"—",IF(H106=I106,"No","Sí"))</f>
        <v/>
      </c>
      <c r="K106" s="11" t="inlineStr">
        <is>
          <t>Luzzi</t>
        </is>
      </c>
      <c r="L106" s="39" t="n">
        <v>46307</v>
      </c>
      <c r="M106" s="11" t="n"/>
      <c r="N106" s="11" t="inlineStr">
        <is>
          <t>Paredes rotas [[10, 5]]; tras la derrota de Pacman volvieron a existir.</t>
        </is>
      </c>
    </row>
    <row r="107" ht="29.4" customHeight="1">
      <c r="A107" s="6" t="inlineStr">
        <is>
          <t>CP-104</t>
        </is>
      </c>
      <c r="B107" s="7" t="inlineStr">
        <is>
          <t>Nuevo (V2)</t>
        </is>
      </c>
      <c r="C107" s="8" t="inlineStr">
        <is>
          <t>E8</t>
        </is>
      </c>
      <c r="D107" s="9" t="inlineStr">
        <is>
          <t>Media</t>
        </is>
      </c>
      <c r="E107" s="7" t="inlineStr">
        <is>
          <t>Más esferas grandes en el nivel 3</t>
        </is>
      </c>
      <c r="F107" s="8" t="inlineStr">
        <is>
          <t>HU-34</t>
        </is>
      </c>
      <c r="G107" s="8" t="inlineStr">
        <is>
          <t>Sí</t>
        </is>
      </c>
      <c r="H107" s="8" t="inlineStr">
        <is>
          <t>—</t>
        </is>
      </c>
      <c r="I107" s="10" t="inlineStr">
        <is>
          <t>Aprobado</t>
        </is>
      </c>
      <c r="J107" s="8">
        <f>IF(OR(H107="—",I107="",I107="No ejecutado"),"—",IF(H107=I107,"No","Sí"))</f>
        <v/>
      </c>
      <c r="K107" s="11" t="inlineStr">
        <is>
          <t>Luzzi</t>
        </is>
      </c>
      <c r="L107" s="39" t="n">
        <v>46307</v>
      </c>
      <c r="M107" s="11" t="n"/>
      <c r="N107" s="11" t="inlineStr">
        <is>
          <t>Esferas grandes al iniciar: nivel 1 = 4, nivel 2 = 4, nivel 3 = 6 (esquinas, (7,1) y (7,15)).</t>
        </is>
      </c>
    </row>
    <row r="108" ht="42.59999999999999" customHeight="1">
      <c r="A108" s="6" t="inlineStr">
        <is>
          <t>CP-105</t>
        </is>
      </c>
      <c r="B108" s="7" t="inlineStr">
        <is>
          <t>Nuevo (V2)</t>
        </is>
      </c>
      <c r="C108" s="8" t="inlineStr">
        <is>
          <t>E8</t>
        </is>
      </c>
      <c r="D108" s="9" t="inlineStr">
        <is>
          <t>Media</t>
        </is>
      </c>
      <c r="E108" s="7" t="inlineStr">
        <is>
          <t>Aparición dinámica de esferas grandes</t>
        </is>
      </c>
      <c r="F108" s="8" t="inlineStr">
        <is>
          <t>HU-34</t>
        </is>
      </c>
      <c r="G108" s="8" t="inlineStr">
        <is>
          <t>Sí</t>
        </is>
      </c>
      <c r="H108" s="8" t="inlineStr">
        <is>
          <t>—</t>
        </is>
      </c>
      <c r="I108" s="10" t="inlineStr">
        <is>
          <t>Aprobado</t>
        </is>
      </c>
      <c r="J108" s="8">
        <f>IF(OR(H108="—",I108="",I108="No ejecutado"),"—",IF(H108=I108,"No","Sí"))</f>
        <v/>
      </c>
      <c r="K108" s="11" t="inlineStr">
        <is>
          <t>Luzzi</t>
        </is>
      </c>
      <c r="L108" s="39" t="n">
        <v>46307</v>
      </c>
      <c r="M108" s="11" t="n"/>
      <c r="N108" s="11" t="inlineStr">
        <is>
          <t>A los 15 s apareció una esfera grande dinámica en [[3, 1]] (celda transitable). Con solo esa esfera pendiente el nivel no terminó: cuenta para completarlo. (Resto del mapa vaciado por script.)</t>
        </is>
      </c>
    </row>
    <row r="109" ht="29.4" customHeight="1">
      <c r="A109" s="6" t="inlineStr">
        <is>
          <t>CP-141</t>
        </is>
      </c>
      <c r="B109" s="7" t="inlineStr">
        <is>
          <t>Nuevo (V2)</t>
        </is>
      </c>
      <c r="C109" s="8" t="inlineStr">
        <is>
          <t>E6</t>
        </is>
      </c>
      <c r="D109" s="9" t="inlineStr">
        <is>
          <t>Media</t>
        </is>
      </c>
      <c r="E109" s="7" t="inlineStr">
        <is>
          <t>El modo no cambia durante la partida</t>
        </is>
      </c>
      <c r="F109" s="8" t="inlineStr">
        <is>
          <t>HU-22</t>
        </is>
      </c>
      <c r="G109" s="8" t="inlineStr">
        <is>
          <t>No</t>
        </is>
      </c>
      <c r="H109" s="8" t="inlineStr">
        <is>
          <t>—</t>
        </is>
      </c>
      <c r="I109" s="10" t="inlineStr">
        <is>
          <t>Aprobado</t>
        </is>
      </c>
      <c r="J109" s="8">
        <f>IF(OR(H109="—",I109="",I109="No ejecutado"),"—",IF(H109=I109,"No","Sí"))</f>
        <v/>
      </c>
      <c r="K109" s="11" t="inlineStr">
        <is>
          <t>Luzzi</t>
        </is>
      </c>
      <c r="L109" s="39" t="n">
        <v>46307</v>
      </c>
      <c r="M109" s="11" t="n"/>
      <c r="N109" s="11" t="inlineStr">
        <is>
          <t>Durante 5 s con ↑ ↓ W S Enter no aparece el menú ni el carrusel; tras pausar y reanudar la partida sigue en modo GhostMan con el Clásico.</t>
        </is>
      </c>
    </row>
    <row r="110" ht="42.59999999999999" customHeight="1">
      <c r="A110" s="6" t="inlineStr">
        <is>
          <t>CP-142</t>
        </is>
      </c>
      <c r="B110" s="7" t="inlineStr">
        <is>
          <t>Nuevo (V2)</t>
        </is>
      </c>
      <c r="C110" s="8" t="inlineStr">
        <is>
          <t>E6</t>
        </is>
      </c>
      <c r="D110" s="9" t="inlineStr">
        <is>
          <t>Media</t>
        </is>
      </c>
      <c r="E110" s="7" t="inlineStr">
        <is>
          <t>Velocidad base del fantasma según su tipo</t>
        </is>
      </c>
      <c r="F110" s="8" t="inlineStr">
        <is>
          <t>HU-24</t>
        </is>
      </c>
      <c r="G110" s="8" t="inlineStr">
        <is>
          <t>No</t>
        </is>
      </c>
      <c r="H110" s="8" t="inlineStr">
        <is>
          <t>—</t>
        </is>
      </c>
      <c r="I110" s="10" t="inlineStr">
        <is>
          <t>Aprobado</t>
        </is>
      </c>
      <c r="J110" s="8">
        <f>IF(OR(H110="—",I110="",I110="No ejecutado"),"—",IF(H110=I110,"No","Sí"))</f>
        <v/>
      </c>
      <c r="K110" s="11" t="inlineStr">
        <is>
          <t>Luzzi</t>
        </is>
      </c>
      <c r="L110" s="39" t="n">
        <v>46307</v>
      </c>
      <c r="M110" s="11" t="n"/>
      <c r="N110" s="11" t="inlineStr">
        <is>
          <t>Velocidad medida: Clásico 5.00 celdas/s, Naval 4.00 celdas/s (−20 %). Precondición preparada por script (posiciones y fantasmas de la IA retirados) para aislar la condición. Re-ejecutado el 28/10/2026 con la velocidad reducida un 25 % (decisión 39): Aprobado; ver el ciclo 3 en la hoja del caso.</t>
        </is>
      </c>
    </row>
    <row r="111" ht="29.4" customHeight="1">
      <c r="A111" s="6" t="inlineStr">
        <is>
          <t>CP-143</t>
        </is>
      </c>
      <c r="B111" s="7" t="inlineStr">
        <is>
          <t>Nuevo (V2)</t>
        </is>
      </c>
      <c r="C111" s="8" t="inlineStr">
        <is>
          <t>E6</t>
        </is>
      </c>
      <c r="D111" s="9" t="inlineStr">
        <is>
          <t>Alta</t>
        </is>
      </c>
      <c r="E111" s="7" t="inlineStr">
        <is>
          <t>Victoria al completar el nivel 3</t>
        </is>
      </c>
      <c r="F111" s="8" t="inlineStr">
        <is>
          <t>HU-25</t>
        </is>
      </c>
      <c r="G111" s="8" t="inlineStr">
        <is>
          <t>No</t>
        </is>
      </c>
      <c r="H111" s="8" t="inlineStr">
        <is>
          <t>—</t>
        </is>
      </c>
      <c r="I111" s="10" t="inlineStr">
        <is>
          <t>Aprobado</t>
        </is>
      </c>
      <c r="J111" s="8">
        <f>IF(OR(H111="—",I111="",I111="No ejecutado"),"—",IF(H111=I111,"No","Sí"))</f>
        <v/>
      </c>
      <c r="K111" s="11" t="inlineStr">
        <is>
          <t>Luzzi</t>
        </is>
      </c>
      <c r="L111" s="39" t="n">
        <v>46307</v>
      </c>
      <c r="M111" s="11" t="n"/>
      <c r="N111" s="11" t="inlineStr">
        <is>
          <t>Tercera derrota en el nivel 3: pantalla de Victoria con el desglose (Derrotas de Pacman, Esferas sin consumir, Total).</t>
        </is>
      </c>
    </row>
    <row r="112" ht="42.59999999999999" customHeight="1">
      <c r="A112" s="6" t="inlineStr">
        <is>
          <t>CP-144</t>
        </is>
      </c>
      <c r="B112" s="7" t="inlineStr">
        <is>
          <t>Nuevo (V2)</t>
        </is>
      </c>
      <c r="C112" s="8" t="inlineStr">
        <is>
          <t>E6</t>
        </is>
      </c>
      <c r="D112" s="9" t="inlineStr">
        <is>
          <t>Alta</t>
        </is>
      </c>
      <c r="E112" s="7" t="inlineStr">
        <is>
          <t>Toque de un fantasma de la IA (decisión 19)</t>
        </is>
      </c>
      <c r="F112" s="8" t="inlineStr">
        <is>
          <t>HU-25</t>
        </is>
      </c>
      <c r="G112" s="8" t="inlineStr">
        <is>
          <t>No</t>
        </is>
      </c>
      <c r="H112" s="8" t="inlineStr">
        <is>
          <t>—</t>
        </is>
      </c>
      <c r="I112" s="10" t="inlineStr">
        <is>
          <t>Aprobado</t>
        </is>
      </c>
      <c r="J112" s="8">
        <f>IF(OR(H112="—",I112="",I112="No ejecutado"),"—",IF(H112=I112,"No","Sí"))</f>
        <v/>
      </c>
      <c r="K112" s="11" t="inlineStr">
        <is>
          <t>Luzzi</t>
        </is>
      </c>
      <c r="L112" s="39" t="n">
        <v>46307</v>
      </c>
      <c r="M112" s="11" t="n"/>
      <c r="N112" s="11" t="inlineStr">
        <is>
          <t>Pacman estaba en (7, 1); tras el toque del fantasma de la IA volvió a su posición inicial (7,8) sin perder vidas (3 → 3); puntaje y fantasma del jugador sin cambios.</t>
        </is>
      </c>
    </row>
    <row r="113" ht="55.8" customHeight="1">
      <c r="A113" s="6" t="inlineStr">
        <is>
          <t>CP-145</t>
        </is>
      </c>
      <c r="B113" s="7" t="inlineStr">
        <is>
          <t>Nuevo (V2)</t>
        </is>
      </c>
      <c r="C113" s="8" t="inlineStr">
        <is>
          <t>E6</t>
        </is>
      </c>
      <c r="D113" s="9" t="inlineStr">
        <is>
          <t>Media</t>
        </is>
      </c>
      <c r="E113" s="7" t="inlineStr">
        <is>
          <t>Desglose del puntaje del modo GhostMan (decisión 20)</t>
        </is>
      </c>
      <c r="F113" s="8" t="inlineStr">
        <is>
          <t>HU-26</t>
        </is>
      </c>
      <c r="G113" s="8" t="inlineStr">
        <is>
          <t>No</t>
        </is>
      </c>
      <c r="H113" s="8" t="inlineStr">
        <is>
          <t>—</t>
        </is>
      </c>
      <c r="I113" s="10" t="inlineStr">
        <is>
          <t>Aprobado</t>
        </is>
      </c>
      <c r="J113" s="8">
        <f>IF(OR(H113="—",I113="",I113="No ejecutado"),"—",IF(H113=I113,"No","Sí"))</f>
        <v/>
      </c>
      <c r="K113" s="11" t="inlineStr">
        <is>
          <t>Luzzi</t>
        </is>
      </c>
      <c r="L113" s="39" t="n">
        <v>46307</v>
      </c>
      <c r="M113" s="11" t="n"/>
      <c r="N113" s="11" t="inlineStr">
        <is>
          <t>Nivel 1 con 3 derrotas: puntaje 2530 al completar (1500 por derrotas + esferas sin consumir). Desglose final: {'Derrotas de Pacman': '1500', 'Esferas sin consumir': '1030', 'Total': '2530'}; la suma coincide con el total.</t>
        </is>
      </c>
    </row>
    <row r="114" ht="42.59999999999999" customHeight="1">
      <c r="A114" s="6" t="inlineStr">
        <is>
          <t>CP-146</t>
        </is>
      </c>
      <c r="B114" s="7" t="inlineStr">
        <is>
          <t>Nuevo (V2)</t>
        </is>
      </c>
      <c r="C114" s="8" t="inlineStr">
        <is>
          <t>E6</t>
        </is>
      </c>
      <c r="D114" s="9" t="inlineStr">
        <is>
          <t>Media</t>
        </is>
      </c>
      <c r="E114" s="7" t="inlineStr">
        <is>
          <t>El poder no se activa mientras se espera reaparecer</t>
        </is>
      </c>
      <c r="F114" s="8" t="inlineStr">
        <is>
          <t>HU-27</t>
        </is>
      </c>
      <c r="G114" s="8" t="inlineStr">
        <is>
          <t>No</t>
        </is>
      </c>
      <c r="H114" s="8" t="inlineStr">
        <is>
          <t>—</t>
        </is>
      </c>
      <c r="I114" s="10" t="inlineStr">
        <is>
          <t>Aprobado</t>
        </is>
      </c>
      <c r="J114" s="8">
        <f>IF(OR(H114="—",I114="",I114="No ejecutado"),"—",IF(H114=I114,"No","Sí"))</f>
        <v/>
      </c>
      <c r="K114" s="11" t="inlineStr">
        <is>
          <t>Luzzi</t>
        </is>
      </c>
      <c r="L114" s="39" t="n">
        <v>46307</v>
      </c>
      <c r="M114" s="11" t="n"/>
      <c r="N114" s="11" t="inlineStr">
        <is>
          <t>Comido el Acelerado, la barra espaciadora durante la espera no hizo nada (cooldown 0, sigue en (1,1)); al reaparecer la estrella sigue disponible.</t>
        </is>
      </c>
    </row>
    <row r="115" ht="55.8" customHeight="1">
      <c r="A115" s="6" t="inlineStr">
        <is>
          <t>CP-147</t>
        </is>
      </c>
      <c r="B115" s="7" t="inlineStr">
        <is>
          <t>Nuevo (V2)</t>
        </is>
      </c>
      <c r="C115" s="8" t="inlineStr">
        <is>
          <t>E7</t>
        </is>
      </c>
      <c r="D115" s="9" t="inlineStr">
        <is>
          <t>Alta</t>
        </is>
      </c>
      <c r="E115" s="7" t="inlineStr">
        <is>
          <t>El cooldown sobrevive al reinicio del nivel (decisión 28)</t>
        </is>
      </c>
      <c r="F115" s="8" t="inlineStr">
        <is>
          <t>HU-28</t>
        </is>
      </c>
      <c r="G115" s="8" t="inlineStr">
        <is>
          <t>No</t>
        </is>
      </c>
      <c r="H115" s="8" t="inlineStr">
        <is>
          <t>—</t>
        </is>
      </c>
      <c r="I115" s="10" t="inlineStr">
        <is>
          <t>Aprobado</t>
        </is>
      </c>
      <c r="J115" s="8">
        <f>IF(OR(H115="—",I115="",I115="No ejecutado"),"—",IF(H115=I115,"No","Sí"))</f>
        <v/>
      </c>
      <c r="K115" s="11" t="inlineStr">
        <is>
          <t>Luzzi</t>
        </is>
      </c>
      <c r="L115" s="39" t="n">
        <v>46307</v>
      </c>
      <c r="M115" s="11" t="n"/>
      <c r="N115" s="11" t="inlineStr">
        <is>
          <t>Derrota de Pacman con el cooldown en 8.4 s: el nivel se reinició y el cooldown siguió en 8.1 s (estrella apagada). Precondición preparada por script (posiciones y fantasmas de la IA retirados) para aislar la condición.</t>
        </is>
      </c>
    </row>
    <row r="116" ht="29.4" customHeight="1">
      <c r="A116" s="6" t="inlineStr">
        <is>
          <t>CP-148</t>
        </is>
      </c>
      <c r="B116" s="7" t="inlineStr">
        <is>
          <t>Nuevo (V2)</t>
        </is>
      </c>
      <c r="C116" s="8" t="inlineStr">
        <is>
          <t>E7</t>
        </is>
      </c>
      <c r="D116" s="9" t="inlineStr">
        <is>
          <t>Media</t>
        </is>
      </c>
      <c r="E116" s="7" t="inlineStr">
        <is>
          <t>Frutas falsas al reiniciarse el nivel (decisión 27)</t>
        </is>
      </c>
      <c r="F116" s="8" t="inlineStr">
        <is>
          <t>HU-30</t>
        </is>
      </c>
      <c r="G116" s="8" t="inlineStr">
        <is>
          <t>No</t>
        </is>
      </c>
      <c r="H116" s="8" t="inlineStr">
        <is>
          <t>—</t>
        </is>
      </c>
      <c r="I116" s="10" t="inlineStr">
        <is>
          <t>Aprobado</t>
        </is>
      </c>
      <c r="J116" s="8">
        <f>IF(OR(H116="—",I116="",I116="No ejecutado"),"—",IF(H116=I116,"No","Sí"))</f>
        <v/>
      </c>
      <c r="K116" s="11" t="inlineStr">
        <is>
          <t>Luzzi</t>
        </is>
      </c>
      <c r="L116" s="39" t="n">
        <v>46307</v>
      </c>
      <c r="M116" s="11" t="n"/>
      <c r="N116" s="11" t="inlineStr">
        <is>
          <t>Con 2 frutas falsas en el mapa, el jugador derrotó a Pacman: al reiniciarse el nivel desaparecieron sin explotar.</t>
        </is>
      </c>
    </row>
    <row r="117" ht="29.4" customHeight="1">
      <c r="A117" s="6" t="inlineStr">
        <is>
          <t>CP-149</t>
        </is>
      </c>
      <c r="B117" s="7" t="inlineStr">
        <is>
          <t>Nuevo (V2)</t>
        </is>
      </c>
      <c r="C117" s="8" t="inlineStr">
        <is>
          <t>E7</t>
        </is>
      </c>
      <c r="D117" s="9" t="inlineStr">
        <is>
          <t>Alta</t>
        </is>
      </c>
      <c r="E117" s="7" t="inlineStr">
        <is>
          <t>Dash que pasa por encima de Pacman (decisión 32)</t>
        </is>
      </c>
      <c r="F117" s="8" t="inlineStr">
        <is>
          <t>HU-31</t>
        </is>
      </c>
      <c r="G117" s="8" t="inlineStr">
        <is>
          <t>No</t>
        </is>
      </c>
      <c r="H117" s="8" t="inlineStr">
        <is>
          <t>—</t>
        </is>
      </c>
      <c r="I117" s="10" t="inlineStr">
        <is>
          <t>Aprobado</t>
        </is>
      </c>
      <c r="J117" s="8">
        <f>IF(OR(H117="—",I117="",I117="No ejecutado"),"—",IF(H117=I117,"No","Sí"))</f>
        <v/>
      </c>
      <c r="K117" s="11" t="inlineStr">
        <is>
          <t>Luzzi</t>
        </is>
      </c>
      <c r="L117" s="39" t="n">
        <v>46307</v>
      </c>
      <c r="M117" s="11" t="n"/>
      <c r="N117" s="11" t="inlineStr">
        <is>
          <t>Pacman en (1,6), dash desde (1,4) hasta (1,7): Pacman perdió una vida (3 → 2).</t>
        </is>
      </c>
    </row>
    <row r="118" ht="29.4" customHeight="1">
      <c r="A118" s="6" t="inlineStr">
        <is>
          <t>CP-150</t>
        </is>
      </c>
      <c r="B118" s="7" t="inlineStr">
        <is>
          <t>Nuevo (V2)</t>
        </is>
      </c>
      <c r="C118" s="8" t="inlineStr">
        <is>
          <t>E7</t>
        </is>
      </c>
      <c r="D118" s="9" t="inlineStr">
        <is>
          <t>Media</t>
        </is>
      </c>
      <c r="E118" s="7" t="inlineStr">
        <is>
          <t>Poder sin efecto no consume el cooldown (decisión 25)</t>
        </is>
      </c>
      <c r="F118" s="8" t="inlineStr">
        <is>
          <t>HU-32</t>
        </is>
      </c>
      <c r="G118" s="8" t="inlineStr">
        <is>
          <t>No</t>
        </is>
      </c>
      <c r="H118" s="8" t="inlineStr">
        <is>
          <t>—</t>
        </is>
      </c>
      <c r="I118" s="10" t="inlineStr">
        <is>
          <t>Aprobado</t>
        </is>
      </c>
      <c r="J118" s="8">
        <f>IF(OR(H118="—",I118="",I118="No ejecutado"),"—",IF(H118=I118,"No","Sí"))</f>
        <v/>
      </c>
      <c r="K118" s="11" t="inlineStr">
        <is>
          <t>Luzzi</t>
        </is>
      </c>
      <c r="L118" s="39" t="n">
        <v>46307</v>
      </c>
      <c r="M118" s="11" t="n"/>
      <c r="N118" s="11" t="inlineStr">
        <is>
          <t>Contra el borde no hubo dash y el cooldown quedó en 0; en el pasillo libre el dash se ejecutó de inmediato.</t>
        </is>
      </c>
    </row>
    <row r="119" ht="42.59999999999999" customHeight="1">
      <c r="A119" s="6" t="inlineStr">
        <is>
          <t>CP-151</t>
        </is>
      </c>
      <c r="B119" s="7" t="inlineStr">
        <is>
          <t>Nuevo (V2)</t>
        </is>
      </c>
      <c r="C119" s="8" t="inlineStr">
        <is>
          <t>E8</t>
        </is>
      </c>
      <c r="D119" s="9" t="inlineStr">
        <is>
          <t>Media</t>
        </is>
      </c>
      <c r="E119" s="7" t="inlineStr">
        <is>
          <t>Pared destruida: visible y transitable para todos</t>
        </is>
      </c>
      <c r="F119" s="8" t="inlineStr">
        <is>
          <t>HU-33</t>
        </is>
      </c>
      <c r="G119" s="8" t="inlineStr">
        <is>
          <t>No</t>
        </is>
      </c>
      <c r="H119" s="8" t="inlineStr">
        <is>
          <t>—</t>
        </is>
      </c>
      <c r="I119" s="10" t="inlineStr">
        <is>
          <t>Aprobado</t>
        </is>
      </c>
      <c r="J119" s="8">
        <f>IF(OR(H119="—",I119="",I119="No ejecutado"),"—",IF(H119=I119,"No","Sí"))</f>
        <v/>
      </c>
      <c r="K119" s="11" t="inlineStr">
        <is>
          <t>Luzzi</t>
        </is>
      </c>
      <c r="L119" s="39" t="n">
        <v>46307</v>
      </c>
      <c r="M119" s="11" t="n"/>
      <c r="N119" s="11" t="inlineStr">
        <is>
          <t>Al romperse la pared (10,5) se vio el destello con escombros (captura); la celda quedó transitable y el fantasma del jugador pudo ocuparla.</t>
        </is>
      </c>
    </row>
    <row r="120" ht="55.8" customHeight="1">
      <c r="A120" s="6" t="inlineStr">
        <is>
          <t>CP-152</t>
        </is>
      </c>
      <c r="B120" s="7" t="inlineStr">
        <is>
          <t>Nuevo (V2)</t>
        </is>
      </c>
      <c r="C120" s="8" t="inlineStr">
        <is>
          <t>E4</t>
        </is>
      </c>
      <c r="D120" s="9" t="inlineStr">
        <is>
          <t>Alta</t>
        </is>
      </c>
      <c r="E120" s="7" t="inlineStr">
        <is>
          <t>Nivel 2: reaparición con cualquiera de los cuatro tipos</t>
        </is>
      </c>
      <c r="F120" s="8" t="inlineStr">
        <is>
          <t>HU-43</t>
        </is>
      </c>
      <c r="G120" s="8" t="inlineStr">
        <is>
          <t>Sí</t>
        </is>
      </c>
      <c r="H120" s="8" t="inlineStr">
        <is>
          <t>—</t>
        </is>
      </c>
      <c r="I120" s="10" t="inlineStr">
        <is>
          <t>Aprobado</t>
        </is>
      </c>
      <c r="J120" s="8">
        <f>IF(OR(H120="—",I120="",I120="No ejecutado"),"—",IF(H120=I120,"No","Sí"))</f>
        <v/>
      </c>
      <c r="K120" s="11" t="inlineStr">
        <is>
          <t>Luzzi</t>
        </is>
      </c>
      <c r="L120" s="39" t="n">
        <v>46307</v>
      </c>
      <c r="M120" s="11" t="n"/>
      <c r="N120" s="11" t="inlineStr">
        <is>
          <t>24 reapariciones en el nivel 2: {'classic': 11, 'specter': 3, 'jumper': 4, 'accelerated': 3, 'naval': 3} (13 con poderes). Aparecen los cuatro tipos. (Reapariciones forzadas por script; la proporción exacta del 50 % la verifica la suite automatizada con 1000 casos.)</t>
        </is>
      </c>
    </row>
    <row r="121" ht="29.4" customHeight="1">
      <c r="A121" s="6" t="inlineStr">
        <is>
          <t>CP-153</t>
        </is>
      </c>
      <c r="B121" s="7" t="inlineStr">
        <is>
          <t>Nuevo (V2)</t>
        </is>
      </c>
      <c r="C121" s="8" t="inlineStr">
        <is>
          <t>E4</t>
        </is>
      </c>
      <c r="D121" s="9" t="inlineStr">
        <is>
          <t>Alta</t>
        </is>
      </c>
      <c r="E121" s="7" t="inlineStr">
        <is>
          <t>Nivel 3: uno de cada tipo con poderes</t>
        </is>
      </c>
      <c r="F121" s="8" t="inlineStr">
        <is>
          <t>HU-43</t>
        </is>
      </c>
      <c r="G121" s="8" t="inlineStr">
        <is>
          <t>Sí</t>
        </is>
      </c>
      <c r="H121" s="8" t="inlineStr">
        <is>
          <t>—</t>
        </is>
      </c>
      <c r="I121" s="10" t="inlineStr">
        <is>
          <t>Aprobado</t>
        </is>
      </c>
      <c r="J121" s="8">
        <f>IF(OR(H121="—",I121="",I121="No ejecutado"),"—",IF(H121=I121,"No","Sí"))</f>
        <v/>
      </c>
      <c r="K121" s="11" t="inlineStr">
        <is>
          <t>Luzzi</t>
        </is>
      </c>
      <c r="L121" s="39" t="n">
        <v>46307</v>
      </c>
      <c r="M121" s="11" t="n"/>
      <c r="N121" s="11" t="inlineStr">
        <is>
          <t>Al iniciar el nivel 3: ['specter', 'jumper', 'naval', 'accelerated']. El fantasma comido reapareció como naval.</t>
        </is>
      </c>
    </row>
    <row r="122" ht="42.59999999999999" customHeight="1">
      <c r="A122" s="6" t="inlineStr">
        <is>
          <t>CP-154</t>
        </is>
      </c>
      <c r="B122" s="7" t="inlineStr">
        <is>
          <t>Nuevo (V2)</t>
        </is>
      </c>
      <c r="C122" s="8" t="inlineStr">
        <is>
          <t>E4</t>
        </is>
      </c>
      <c r="D122" s="9" t="inlineStr">
        <is>
          <t>Media</t>
        </is>
      </c>
      <c r="E122" s="7" t="inlineStr">
        <is>
          <t>Tipos distinguibles entre sí</t>
        </is>
      </c>
      <c r="F122" s="8" t="inlineStr">
        <is>
          <t>HU-43</t>
        </is>
      </c>
      <c r="G122" s="8" t="inlineStr">
        <is>
          <t>No</t>
        </is>
      </c>
      <c r="H122" s="8" t="inlineStr">
        <is>
          <t>—</t>
        </is>
      </c>
      <c r="I122" s="10" t="inlineStr">
        <is>
          <t>Aprobado</t>
        </is>
      </c>
      <c r="J122" s="8">
        <f>IF(OR(H122="—",I122="",I122="No ejecutado"),"—",IF(H122=I122,"No","Sí"))</f>
        <v/>
      </c>
      <c r="K122" s="11" t="inlineStr">
        <is>
          <t>Luzzi</t>
        </is>
      </c>
      <c r="L122" s="39" t="n">
        <v>46307</v>
      </c>
      <c r="M122" s="11" t="n"/>
      <c r="N122" s="11" t="inlineStr">
        <is>
          <t>Los cuatro tipos se ven distintos: espectro translúcido con contorno blanco, saltarín con chevron, naval con onda y acelerado con doble chevron (captura CP-154.png); el clásico del nivel 1 no lleva marca.</t>
        </is>
      </c>
    </row>
    <row r="123" ht="29.4" customHeight="1">
      <c r="A123" s="6" t="inlineStr">
        <is>
          <t>CP-155</t>
        </is>
      </c>
      <c r="B123" s="7" t="inlineStr">
        <is>
          <t>Nuevo (V2)</t>
        </is>
      </c>
      <c r="C123" s="8" t="inlineStr">
        <is>
          <t>E4</t>
        </is>
      </c>
      <c r="D123" s="9" t="inlineStr">
        <is>
          <t>Media</t>
        </is>
      </c>
      <c r="E123" s="7" t="inlineStr">
        <is>
          <t>Saltarín de la IA</t>
        </is>
      </c>
      <c r="F123" s="8" t="inlineStr">
        <is>
          <t>HU-43</t>
        </is>
      </c>
      <c r="G123" s="8" t="inlineStr">
        <is>
          <t>No</t>
        </is>
      </c>
      <c r="H123" s="8" t="inlineStr">
        <is>
          <t>—</t>
        </is>
      </c>
      <c r="I123" s="10" t="inlineStr">
        <is>
          <t>Aprobado</t>
        </is>
      </c>
      <c r="J123" s="8">
        <f>IF(OR(H123="—",I123="",I123="No ejecutado"),"—",IF(H123=I123,"No","Sí"))</f>
        <v/>
      </c>
      <c r="K123" s="11" t="inlineStr">
        <is>
          <t>Luzzi</t>
        </is>
      </c>
      <c r="L123" s="39" t="n">
        <v>46307</v>
      </c>
      <c r="M123" s="11" t="n"/>
      <c r="N123" s="11" t="inlineStr">
        <is>
          <t>Con Pacman a 6 celdas el saltarín saltó de (13,4) a (7,6) (distancia 8); 5 s después seguía en cooldown (4.8 s).</t>
        </is>
      </c>
    </row>
    <row r="124" ht="55.8" customHeight="1">
      <c r="A124" s="6" t="inlineStr">
        <is>
          <t>CP-156</t>
        </is>
      </c>
      <c r="B124" s="7" t="inlineStr">
        <is>
          <t>Nuevo (V2)</t>
        </is>
      </c>
      <c r="C124" s="8" t="inlineStr">
        <is>
          <t>E4</t>
        </is>
      </c>
      <c r="D124" s="9" t="inlineStr">
        <is>
          <t>Media</t>
        </is>
      </c>
      <c r="E124" s="7" t="inlineStr">
        <is>
          <t>Naval de la IA</t>
        </is>
      </c>
      <c r="F124" s="8" t="inlineStr">
        <is>
          <t>HU-43</t>
        </is>
      </c>
      <c r="G124" s="8" t="inlineStr">
        <is>
          <t>No</t>
        </is>
      </c>
      <c r="H124" s="8" t="inlineStr">
        <is>
          <t>—</t>
        </is>
      </c>
      <c r="I124" s="10" t="inlineStr">
        <is>
          <t>Aprobado</t>
        </is>
      </c>
      <c r="J124" s="8">
        <f>IF(OR(H124="—",I124="",I124="No ejecutado"),"—",IF(H124=I124,"No","Sí"))</f>
        <v/>
      </c>
      <c r="K124" s="11" t="inlineStr">
        <is>
          <t>Luzzi</t>
        </is>
      </c>
      <c r="L124" s="39" t="n">
        <v>46307</v>
      </c>
      <c r="M124" s="11" t="n"/>
      <c r="N124" s="11" t="inlineStr">
        <is>
          <t>En 16 s el naval colocó frutas falsas en t = [-0.4, 4.5, 9.6, 14.6] s (separaciones [4.9, 5.1, 5.0] s: una cada 5 s, al volver el cooldown); como máximo hubo 2 en el mapa a la vez. (Contacto con Pacman anulado por script para que no se reinicie el nivel.)</t>
        </is>
      </c>
    </row>
    <row r="125" ht="29.4" customHeight="1">
      <c r="A125" s="6" t="inlineStr">
        <is>
          <t>CP-157</t>
        </is>
      </c>
      <c r="B125" s="7" t="inlineStr">
        <is>
          <t>Nuevo (V2)</t>
        </is>
      </c>
      <c r="C125" s="8" t="inlineStr">
        <is>
          <t>E4</t>
        </is>
      </c>
      <c r="D125" s="9" t="inlineStr">
        <is>
          <t>Media</t>
        </is>
      </c>
      <c r="E125" s="7" t="inlineStr">
        <is>
          <t>Acelerado de la IA</t>
        </is>
      </c>
      <c r="F125" s="8" t="inlineStr">
        <is>
          <t>HU-43</t>
        </is>
      </c>
      <c r="G125" s="8" t="inlineStr">
        <is>
          <t>No</t>
        </is>
      </c>
      <c r="H125" s="8" t="inlineStr">
        <is>
          <t>—</t>
        </is>
      </c>
      <c r="I125" s="10" t="inlineStr">
        <is>
          <t>Aprobado</t>
        </is>
      </c>
      <c r="J125" s="8">
        <f>IF(OR(H125="—",I125="",I125="No ejecutado"),"—",IF(H125=I125,"No","Sí"))</f>
        <v/>
      </c>
      <c r="K125" s="11" t="inlineStr">
        <is>
          <t>Luzzi</t>
        </is>
      </c>
      <c r="L125" s="39" t="n">
        <v>46307</v>
      </c>
      <c r="M125" s="11" t="n"/>
      <c r="N125" s="11" t="inlineStr">
        <is>
          <t>Con Pacman a 5 celdas el acelerado hizo el dash: velocidad 2.5 celdas/s durante 4.9 s y cooldown 9.9 s. Re-ejecutado el 28/10/2026 con la velocidad reducida (decisiones 39 y 40): Aprobado; ver el ciclo 3 en la hoja del caso.</t>
        </is>
      </c>
    </row>
    <row r="126" ht="29.4" customHeight="1">
      <c r="A126" s="6" t="inlineStr">
        <is>
          <t>CP-158</t>
        </is>
      </c>
      <c r="B126" s="7" t="inlineStr">
        <is>
          <t>Nuevo (V2)</t>
        </is>
      </c>
      <c r="C126" s="8" t="inlineStr">
        <is>
          <t>E4</t>
        </is>
      </c>
      <c r="D126" s="9" t="inlineStr">
        <is>
          <t>Alta</t>
        </is>
      </c>
      <c r="E126" s="7" t="inlineStr">
        <is>
          <t>Ningún fantasma vulnerable usa su poder</t>
        </is>
      </c>
      <c r="F126" s="8" t="inlineStr">
        <is>
          <t>HU-43</t>
        </is>
      </c>
      <c r="G126" s="8" t="inlineStr">
        <is>
          <t>No</t>
        </is>
      </c>
      <c r="H126" s="8" t="inlineStr">
        <is>
          <t>—</t>
        </is>
      </c>
      <c r="I126" s="10" t="inlineStr">
        <is>
          <t>Aprobado</t>
        </is>
      </c>
      <c r="J126" s="8">
        <f>IF(OR(H126="—",I126="",I126="No ejecutado"),"—",IF(H126=I126,"No","Sí"))</f>
        <v/>
      </c>
      <c r="K126" s="11" t="inlineStr">
        <is>
          <t>Luzzi</t>
        </is>
      </c>
      <c r="L126" s="39" t="n">
        <v>46307</v>
      </c>
      <c r="M126" s="11" t="n"/>
      <c r="N126" s="11" t="inlineStr">
        <is>
          <t>Con los cuatro tipos vulnerables durante 6 s (PowerUp prolongado por script), ninguno usó su poder: sin saltos, frutas, dashes ni cruces.</t>
        </is>
      </c>
    </row>
    <row r="127" ht="29.4" customHeight="1">
      <c r="A127" s="6" t="inlineStr">
        <is>
          <t>CP-159</t>
        </is>
      </c>
      <c r="B127" s="7" t="inlineStr">
        <is>
          <t>Nuevo (V2)</t>
        </is>
      </c>
      <c r="C127" s="8" t="inlineStr">
        <is>
          <t>E4</t>
        </is>
      </c>
      <c r="D127" s="9" t="inlineStr">
        <is>
          <t>Alta</t>
        </is>
      </c>
      <c r="E127" s="7" t="inlineStr">
        <is>
          <t>El nivel 1 no cambia</t>
        </is>
      </c>
      <c r="F127" s="8" t="inlineStr">
        <is>
          <t>HU-43</t>
        </is>
      </c>
      <c r="G127" s="8" t="inlineStr">
        <is>
          <t>No</t>
        </is>
      </c>
      <c r="H127" s="8" t="inlineStr">
        <is>
          <t>—</t>
        </is>
      </c>
      <c r="I127" s="10" t="inlineStr">
        <is>
          <t>Aprobado</t>
        </is>
      </c>
      <c r="J127" s="8">
        <f>IF(OR(H127="—",I127="",I127="No ejecutado"),"—",IF(H127=I127,"No","Sí"))</f>
        <v/>
      </c>
      <c r="K127" s="11" t="inlineStr">
        <is>
          <t>Luzzi</t>
        </is>
      </c>
      <c r="L127" s="39" t="n">
        <v>46307</v>
      </c>
      <c r="M127" s="11" t="n"/>
      <c r="N127" s="11" t="inlineStr">
        <is>
          <t>Nivel 1: 8 reapariciones, todas clásicas; en 10 s no apareció ninguna fruta falsa.</t>
        </is>
      </c>
    </row>
    <row r="128" ht="29.4" customHeight="1">
      <c r="A128" s="6" t="inlineStr">
        <is>
          <t>CP-160</t>
        </is>
      </c>
      <c r="B128" s="7" t="inlineStr">
        <is>
          <t>Nuevo (V2)</t>
        </is>
      </c>
      <c r="C128" s="8" t="inlineStr">
        <is>
          <t>E6</t>
        </is>
      </c>
      <c r="D128" s="9" t="inlineStr">
        <is>
          <t>Alta</t>
        </is>
      </c>
      <c r="E128" s="7" t="inlineStr">
        <is>
          <t>Pacman huye de un fantasma cercano (decisión 17)</t>
        </is>
      </c>
      <c r="F128" s="8" t="inlineStr">
        <is>
          <t>HU-24</t>
        </is>
      </c>
      <c r="G128" s="8" t="inlineStr">
        <is>
          <t>No</t>
        </is>
      </c>
      <c r="H128" s="8" t="inlineStr">
        <is>
          <t>—</t>
        </is>
      </c>
      <c r="I128" s="10" t="inlineStr">
        <is>
          <t>Aprobado</t>
        </is>
      </c>
      <c r="J128" s="8">
        <f>IF(OR(H128="—",I128="",I128="No ejecutado"),"—",IF(H128=I128,"No","Sí"))</f>
        <v/>
      </c>
      <c r="K128" s="11" t="inlineStr">
        <is>
          <t>Luzzi</t>
        </is>
      </c>
      <c r="L128" s="39" t="n">
        <v>46307</v>
      </c>
      <c r="M128" s="11" t="n"/>
      <c r="N128" s="11" t="inlineStr">
        <is>
          <t>El fantasma avanzó por la fila 7 hacia Pacman; Pacman cambió de dirección y mantuvo la distancia (mínima 2.6 celdas, no lo alcanzó).</t>
        </is>
      </c>
    </row>
    <row r="129" ht="29.4" customHeight="1">
      <c r="A129" s="6" t="inlineStr">
        <is>
          <t>CP-161</t>
        </is>
      </c>
      <c r="B129" s="7" t="inlineStr">
        <is>
          <t>Nuevo (V2)</t>
        </is>
      </c>
      <c r="C129" s="8" t="inlineStr">
        <is>
          <t>E6</t>
        </is>
      </c>
      <c r="D129" s="9" t="inlineStr">
        <is>
          <t>Media</t>
        </is>
      </c>
      <c r="E129" s="7" t="inlineStr">
        <is>
          <t>Pacman persigue fantasmas vulnerables (decisión 17)</t>
        </is>
      </c>
      <c r="F129" s="8" t="inlineStr">
        <is>
          <t>HU-24</t>
        </is>
      </c>
      <c r="G129" s="8" t="inlineStr">
        <is>
          <t>No</t>
        </is>
      </c>
      <c r="H129" s="8" t="inlineStr">
        <is>
          <t>—</t>
        </is>
      </c>
      <c r="I129" s="10" t="inlineStr">
        <is>
          <t>Aprobado</t>
        </is>
      </c>
      <c r="J129" s="8">
        <f>IF(OR(H129="—",I129="",I129="No ejecutado"),"—",IF(H129=I129,"No","Sí"))</f>
        <v/>
      </c>
      <c r="K129" s="11" t="inlineStr">
        <is>
          <t>Luzzi</t>
        </is>
      </c>
      <c r="L129" s="39" t="n">
        <v>46307</v>
      </c>
      <c r="M129" s="11" t="n"/>
      <c r="N129" s="11" t="inlineStr">
        <is>
          <t>Con PowerUp activo y el fantasma quieto a 5 celdas, Pacman fue hacia él y lo comió en 1.0 s.</t>
        </is>
      </c>
    </row>
    <row r="130" ht="29.4" customHeight="1">
      <c r="A130" s="6" t="inlineStr">
        <is>
          <t>CP-162</t>
        </is>
      </c>
      <c r="B130" s="7" t="inlineStr">
        <is>
          <t>Nuevo (V2)</t>
        </is>
      </c>
      <c r="C130" s="8" t="inlineStr">
        <is>
          <t>E6</t>
        </is>
      </c>
      <c r="D130" s="9" t="inlineStr">
        <is>
          <t>Media</t>
        </is>
      </c>
      <c r="E130" s="7" t="inlineStr">
        <is>
          <t>Pacman va hacia una fruta falsa cercana (decisión 17)</t>
        </is>
      </c>
      <c r="F130" s="8" t="inlineStr">
        <is>
          <t>HU-24</t>
        </is>
      </c>
      <c r="G130" s="8" t="inlineStr">
        <is>
          <t>No</t>
        </is>
      </c>
      <c r="H130" s="8" t="inlineStr">
        <is>
          <t>—</t>
        </is>
      </c>
      <c r="I130" s="10" t="inlineStr">
        <is>
          <t>Aprobado</t>
        </is>
      </c>
      <c r="J130" s="8">
        <f>IF(OR(H130="—",I130="",I130="No ejecutado"),"—",IF(H130=I130,"No","Sí"))</f>
        <v/>
      </c>
      <c r="K130" s="11" t="inlineStr">
        <is>
          <t>Luzzi</t>
        </is>
      </c>
      <c r="L130" s="39" t="n">
        <v>46307</v>
      </c>
      <c r="M130" s="11" t="n"/>
      <c r="N130" s="11" t="inlineStr">
        <is>
          <t>Fruta falsa a 3 celdas: Pacman fue por ella, la consumió y perdió una vida (3 → 2). (Fruta ubicada por script.)</t>
        </is>
      </c>
    </row>
    <row r="131" ht="29.4" customHeight="1">
      <c r="A131" s="6" t="inlineStr">
        <is>
          <t>CP-163</t>
        </is>
      </c>
      <c r="B131" s="7" t="inlineStr">
        <is>
          <t>Nuevo (V2)</t>
        </is>
      </c>
      <c r="C131" s="8" t="inlineStr">
        <is>
          <t>E6</t>
        </is>
      </c>
      <c r="D131" s="9" t="inlineStr">
        <is>
          <t>Alta</t>
        </is>
      </c>
      <c r="E131" s="7" t="inlineStr">
        <is>
          <t>Volver a jugar y Menú principal (decisión 29)</t>
        </is>
      </c>
      <c r="F131" s="8" t="inlineStr">
        <is>
          <t>HU-19</t>
        </is>
      </c>
      <c r="G131" s="8" t="inlineStr">
        <is>
          <t>Sí</t>
        </is>
      </c>
      <c r="H131" s="8" t="inlineStr">
        <is>
          <t>—</t>
        </is>
      </c>
      <c r="I131" s="10" t="inlineStr">
        <is>
          <t>Aprobado</t>
        </is>
      </c>
      <c r="J131" s="8">
        <f>IF(OR(H131="—",I131="",I131="No ejecutado"),"—",IF(H131=I131,"No","Sí"))</f>
        <v/>
      </c>
      <c r="K131" s="11" t="inlineStr">
        <is>
          <t>Luzzi</t>
        </is>
      </c>
      <c r="L131" s="39" t="n">
        <v>46307</v>
      </c>
      <c r="M131" s="11" t="n"/>
      <c r="N131" s="11" t="inlineStr">
        <is>
          <t>«Volver a jugar» repitió modo GhostMan con el Saltarín, nivel 1, 3 vidas de Pacman, puntaje 0; «Menú principal» volvió al menú.</t>
        </is>
      </c>
    </row>
    <row r="132" ht="55.8" customHeight="1">
      <c r="A132" s="6" t="inlineStr">
        <is>
          <t>DEF-002</t>
        </is>
      </c>
      <c r="B132" s="7" t="inlineStr">
        <is>
          <t>Confirmación DEF-002</t>
        </is>
      </c>
      <c r="C132" s="8" t="inlineStr">
        <is>
          <t>E6</t>
        </is>
      </c>
      <c r="D132" s="9" t="inlineStr">
        <is>
          <t>Media</t>
        </is>
      </c>
      <c r="E132" s="7" t="inlineStr">
        <is>
          <t>El menú no cambia de opción con el puntero quieto</t>
        </is>
      </c>
      <c r="F132" s="8" t="inlineStr">
        <is>
          <t>HU-22</t>
        </is>
      </c>
      <c r="G132" s="8" t="inlineStr">
        <is>
          <t>No</t>
        </is>
      </c>
      <c r="H132" s="8" t="inlineStr">
        <is>
          <t>—</t>
        </is>
      </c>
      <c r="I132" s="10" t="inlineStr">
        <is>
          <t>Aprobado</t>
        </is>
      </c>
      <c r="J132" s="8">
        <f>IF(OR(H132="—",I132="",I132="No ejecutado"),"—",IF(H132=I132,"No","Sí"))</f>
        <v/>
      </c>
      <c r="K132" s="11" t="inlineStr">
        <is>
          <t>Luzzi</t>
        </is>
      </c>
      <c r="L132" s="39" t="n">
        <v>46307</v>
      </c>
      <c r="M132" s="11" t="inlineStr">
        <is>
          <t>DEF-002</t>
        </is>
      </c>
      <c r="N132" s="11" t="inlineStr">
        <is>
          <t>Tras elegir «Modo GhostMan» con un clic y recargar con el puntero quieto sobre esa opción, la seleccionada es «Modo PacMan» y Enter inició el modo Pacman (sin carrusel). (Prueba exploratoria: DEF-002 no tiene caso de prueba asociado.)</t>
        </is>
      </c>
    </row>
  </sheetData>
  <autoFilter ref="A3:N132"/>
  <mergeCells count="27">
    <mergeCell ref="P37:S37"/>
    <mergeCell ref="S80:V80"/>
    <mergeCell ref="Q10:V10"/>
    <mergeCell ref="Q5:V5"/>
    <mergeCell ref="P3:S3"/>
    <mergeCell ref="Q4:V4"/>
    <mergeCell ref="P42:V42"/>
    <mergeCell ref="A1:N1"/>
    <mergeCell ref="Q6:V6"/>
    <mergeCell ref="S79:V79"/>
    <mergeCell ref="P14:S14"/>
    <mergeCell ref="P83:V83"/>
    <mergeCell ref="Q9:V9"/>
    <mergeCell ref="Q98:S98"/>
    <mergeCell ref="Q11:V11"/>
    <mergeCell ref="P69:S69"/>
    <mergeCell ref="P60:V60"/>
    <mergeCell ref="A2:N2"/>
    <mergeCell ref="P95:S95"/>
    <mergeCell ref="P81:V81"/>
    <mergeCell ref="Q7:V7"/>
    <mergeCell ref="Q96:S96"/>
    <mergeCell ref="Q12:V12"/>
    <mergeCell ref="P77:V77"/>
    <mergeCell ref="S78:V78"/>
    <mergeCell ref="Q97:S97"/>
    <mergeCell ref="Q8:V8"/>
  </mergeCells>
  <conditionalFormatting sqref="I4:I132">
    <cfRule type="expression" priority="1" dxfId="0">
      <formula>$I4="Fallido"</formula>
    </cfRule>
    <cfRule type="expression" priority="2" dxfId="1">
      <formula>$I4="Bloqueado"</formula>
    </cfRule>
    <cfRule type="expression" priority="3" dxfId="2">
      <formula>$I4="Aprobado"</formula>
    </cfRule>
    <cfRule type="expression" priority="4" dxfId="3">
      <formula>$I4="No ejecutado"</formula>
    </cfRule>
    <cfRule type="expression" priority="5" dxfId="3">
      <formula>$I4="No aplica"</formula>
    </cfRule>
  </conditionalFormatting>
  <conditionalFormatting sqref="J4:J132">
    <cfRule type="expression" priority="6" dxfId="4">
      <formula>$J4="Sí"</formula>
    </cfRule>
  </conditionalFormatting>
  <dataValidations count="1">
    <dataValidation sqref="I4:I132" showDropDown="0" showInputMessage="0" showErrorMessage="0" allowBlank="1" type="list">
      <formula1>"Aprobado,Fallido,Bloqueado,No ejecutado,No aplica"</formula1>
    </dataValidation>
  </dataValidation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1" r:id="rId58"/>
    <hyperlink xmlns:r="http://schemas.openxmlformats.org/officeDocument/2006/relationships" ref="A62" r:id="rId59"/>
    <hyperlink xmlns:r="http://schemas.openxmlformats.org/officeDocument/2006/relationships" ref="A63" r:id="rId60"/>
    <hyperlink xmlns:r="http://schemas.openxmlformats.org/officeDocument/2006/relationships" ref="A64" r:id="rId61"/>
    <hyperlink xmlns:r="http://schemas.openxmlformats.org/officeDocument/2006/relationships" ref="A65" r:id="rId62"/>
    <hyperlink xmlns:r="http://schemas.openxmlformats.org/officeDocument/2006/relationships" ref="A66" r:id="rId63"/>
    <hyperlink xmlns:r="http://schemas.openxmlformats.org/officeDocument/2006/relationships" ref="A67" r:id="rId64"/>
    <hyperlink xmlns:r="http://schemas.openxmlformats.org/officeDocument/2006/relationships" ref="A68" r:id="rId65"/>
    <hyperlink xmlns:r="http://schemas.openxmlformats.org/officeDocument/2006/relationships" ref="A69" r:id="rId66"/>
    <hyperlink xmlns:r="http://schemas.openxmlformats.org/officeDocument/2006/relationships" ref="A70"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3" r:id="rId80"/>
    <hyperlink xmlns:r="http://schemas.openxmlformats.org/officeDocument/2006/relationships" ref="A84" r:id="rId81"/>
    <hyperlink xmlns:r="http://schemas.openxmlformats.org/officeDocument/2006/relationships" ref="A85" r:id="rId82"/>
    <hyperlink xmlns:r="http://schemas.openxmlformats.org/officeDocument/2006/relationships" ref="A86" r:id="rId83"/>
    <hyperlink xmlns:r="http://schemas.openxmlformats.org/officeDocument/2006/relationships" ref="A87" r:id="rId84"/>
    <hyperlink xmlns:r="http://schemas.openxmlformats.org/officeDocument/2006/relationships" ref="A88" r:id="rId85"/>
    <hyperlink xmlns:r="http://schemas.openxmlformats.org/officeDocument/2006/relationships" ref="A89" r:id="rId86"/>
    <hyperlink xmlns:r="http://schemas.openxmlformats.org/officeDocument/2006/relationships" ref="A90" r:id="rId87"/>
    <hyperlink xmlns:r="http://schemas.openxmlformats.org/officeDocument/2006/relationships" ref="A91" r:id="rId88"/>
    <hyperlink xmlns:r="http://schemas.openxmlformats.org/officeDocument/2006/relationships" ref="A92" r:id="rId89"/>
    <hyperlink xmlns:r="http://schemas.openxmlformats.org/officeDocument/2006/relationships" ref="A93" r:id="rId90"/>
    <hyperlink xmlns:r="http://schemas.openxmlformats.org/officeDocument/2006/relationships" ref="A94"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s>
  <pageMargins left="0.75" right="0.75" top="1" bottom="1" header="0.5" footer="0.5"/>
  <pageSetup orientation="landscape" fitToHeight="0" fitToWidth="1"/>
  <drawing xmlns:r="http://schemas.openxmlformats.org/officeDocument/2006/relationships" r:id="rId130"/>
</worksheet>
</file>

<file path=xl/worksheets/sheet2.xml><?xml version="1.0" encoding="utf-8"?>
<worksheet xmlns="http://schemas.openxmlformats.org/spreadsheetml/2006/main">
  <sheetPr>
    <tabColor rgb="00C00000"/>
    <outlinePr summaryBelow="1" summaryRight="1"/>
    <pageSetUpPr/>
  </sheetPr>
  <dimension ref="A1:R1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4" customWidth="1" min="2" max="2"/>
    <col width="12" customWidth="1" min="3" max="3"/>
    <col width="9" customWidth="1" min="4" max="4"/>
    <col width="10" customWidth="1" min="5" max="5"/>
    <col width="10" customWidth="1" min="6" max="6"/>
    <col width="13" customWidth="1" min="7" max="7"/>
    <col width="22" customWidth="1" min="8" max="8"/>
    <col width="22" customWidth="1" min="9" max="9"/>
    <col width="13" customWidth="1" min="10" max="10"/>
    <col width="15" customWidth="1" min="11" max="11"/>
    <col width="14" customWidth="1" min="12" max="12"/>
    <col width="12" customWidth="1" min="13" max="13"/>
    <col width="60" customWidth="1" min="14" max="14"/>
    <col width="3" customWidth="1" min="15" max="15"/>
    <col width="3" customWidth="1" min="16" max="16"/>
    <col width="40" customWidth="1" min="17" max="17"/>
    <col width="10" customWidth="1" min="18" max="18"/>
  </cols>
  <sheetData>
    <row r="1" ht="24" customHeight="1">
      <c r="A1" s="25" t="inlineStr">
        <is>
          <t>GhostMan - Entrega 2 - Registro de defectos (V1 y V2, ciclo 2)</t>
        </is>
      </c>
    </row>
    <row r="2" ht="28" customHeight="1">
      <c r="A2" s="2" t="inlineStr">
        <is>
          <t>Una fila por defecto, en orden de detección. Los defectos de la V2 continúan la numeración de la V1 (sección 12 de la Entrega 02). Campos de la sección 13.3; severidad y prioridad según 13.1; estado según 13.2. El detalle completo va en la hoja con el ID del defecto.</t>
        </is>
      </c>
    </row>
    <row r="3">
      <c r="A3" s="2" t="inlineStr">
        <is>
          <t>Todo defecto debe ser confirmado por un integrante distinto del que lo reportó antes de pasar a corrección, y verificado por un integrante distinto antes de cerrarse (13.2).</t>
        </is>
      </c>
    </row>
    <row r="4" ht="30" customHeight="1">
      <c r="A4" s="26" t="inlineStr">
        <is>
          <t>ID</t>
        </is>
      </c>
      <c r="B4" s="26" t="inlineStr">
        <is>
          <t>Título</t>
        </is>
      </c>
      <c r="C4" s="26" t="inlineStr">
        <is>
          <t>Caso de prueba</t>
        </is>
      </c>
      <c r="D4" s="26" t="inlineStr">
        <is>
          <t>HU</t>
        </is>
      </c>
      <c r="E4" s="26" t="inlineStr">
        <is>
          <t>Severidad</t>
        </is>
      </c>
      <c r="F4" s="26" t="inlineStr">
        <is>
          <t>Prioridad</t>
        </is>
      </c>
      <c r="G4" s="26" t="inlineStr">
        <is>
          <t>Estado</t>
        </is>
      </c>
      <c r="H4" s="26" t="inlineStr">
        <is>
          <t>Versión / commit</t>
        </is>
      </c>
      <c r="I4" s="26" t="inlineStr">
        <is>
          <t>Entorno (navegador, resolución)</t>
        </is>
      </c>
      <c r="J4" s="26" t="inlineStr">
        <is>
          <t>Reproducibilidad</t>
        </is>
      </c>
      <c r="K4" s="26" t="inlineStr">
        <is>
          <t>Reportado por</t>
        </is>
      </c>
      <c r="L4" s="26" t="inlineStr">
        <is>
          <t>Confirmado por</t>
        </is>
      </c>
      <c r="M4" s="26" t="inlineStr">
        <is>
          <t>Fecha</t>
        </is>
      </c>
      <c r="N4" s="26" t="inlineStr">
        <is>
          <t>Observaciones</t>
        </is>
      </c>
      <c r="Q4" s="27" t="inlineStr">
        <is>
          <t>Defectos por severidad</t>
        </is>
      </c>
      <c r="R4" s="24" t="n"/>
    </row>
    <row r="5" ht="82.19999999999999" customHeight="1">
      <c r="A5" s="29" t="inlineStr">
        <is>
          <t>DEF-001</t>
        </is>
      </c>
      <c r="B5" s="11" t="inlineStr">
        <is>
          <t>El contador de vidas se muestra arriba a la derecha como círculos amarillos en lugar de íconos de Pacman abajo a la izquierda</t>
        </is>
      </c>
      <c r="C5" s="11" t="inlineStr">
        <is>
          <t>CP-034</t>
        </is>
      </c>
      <c r="D5" s="11" t="inlineStr">
        <is>
          <t>HU-09</t>
        </is>
      </c>
      <c r="E5" s="11" t="inlineStr">
        <is>
          <t>Menor</t>
        </is>
      </c>
      <c r="F5" s="11" t="inlineStr">
        <is>
          <t>Media</t>
        </is>
      </c>
      <c r="G5" s="11" t="inlineStr">
        <is>
          <t>Verificado</t>
        </is>
      </c>
      <c r="H5" s="11" t="inlineStr">
        <is>
          <t>V1 - commit a completar (corregido en V2 - 7ec70df)</t>
        </is>
      </c>
      <c r="I5" s="11" t="inlineStr">
        <is>
          <t>Chrome 154 escritorio (macOS), 1291 × 693</t>
        </is>
      </c>
      <c r="J5" s="11" t="inlineStr">
        <is>
          <t>Siempre</t>
        </is>
      </c>
      <c r="K5" s="11" t="inlineStr">
        <is>
          <t>Rodriguez Castro</t>
        </is>
      </c>
      <c r="L5" s="11" t="inlineStr">
        <is>
          <t>Luzzi</t>
        </is>
      </c>
      <c r="M5" s="40" t="n">
        <v>46294</v>
      </c>
      <c r="N5" s="11" t="inlineStr">
        <is>
          <t>Detectado en la Entrega 1. Corregido en el commit 7ec70df: las vidas del modo Pacman pasan a una barra debajo del mapa, abajo a la izquierda, con íconos de Pacman. Verificado el 12/10/2026 con la prueba de confirmación (CP-034, Aprobado, Chromium 141). Además, CP-047 de la regresión registró la barra en los tres niveles.</t>
        </is>
      </c>
      <c r="Q5" s="13" t="inlineStr">
        <is>
          <t>Bloqueante</t>
        </is>
      </c>
      <c r="R5" s="8">
        <f>COUNTIF($E$5:$E$104,"Bloqueante")</f>
        <v/>
      </c>
    </row>
    <row r="6" ht="108.6" customHeight="1">
      <c r="A6" s="29" t="inlineStr">
        <is>
          <t>DEF-002</t>
        </is>
      </c>
      <c r="B6" s="11" t="inlineStr">
        <is>
          <t>El menú principal elige la opción que tiene el puntero encima al cargar la página, aunque el mouse no se haya movido</t>
        </is>
      </c>
      <c r="C6" s="11" t="inlineStr">
        <is>
          <t>Exploratoria</t>
        </is>
      </c>
      <c r="D6" s="11" t="inlineStr">
        <is>
          <t>HU-22</t>
        </is>
      </c>
      <c r="E6" s="11" t="inlineStr">
        <is>
          <t>Menor</t>
        </is>
      </c>
      <c r="F6" s="11" t="inlineStr">
        <is>
          <t>Media</t>
        </is>
      </c>
      <c r="G6" s="11" t="inlineStr">
        <is>
          <t>Corregido</t>
        </is>
      </c>
      <c r="H6" s="11" t="inlineStr">
        <is>
          <t>V2 - b451d52 (corregido en 65df127)</t>
        </is>
      </c>
      <c r="I6" s="11" t="inlineStr">
        <is>
          <t>Chromium sin interfaz (Linux), 700 × 600</t>
        </is>
      </c>
      <c r="J6" s="11" t="inlineStr">
        <is>
          <t>Siempre</t>
        </is>
      </c>
      <c r="K6" s="11" t="inlineStr">
        <is>
          <t>Luzzi</t>
        </is>
      </c>
      <c r="L6" s="11" t="n"/>
      <c r="M6" s="40" t="n">
        <v>46307</v>
      </c>
      <c r="N6" s="11" t="inlineStr">
        <is>
          <t>Lo detectó el script scripts/verify/ui/inc10-menu-carrusel.js: tras elegir Modo GhostMan con un clic y recargar la página, Enter abre el carrusel en lugar de iniciar el Modo PacMan, porque el puntero quedó sobre esa opción. Corrección: la selección cambia solo con un movimiento real del mouse. La prueba de confirmación del 12/10/2026 dio Aprobado; falta que otro integrante lo confirme y lo verifique para pasarlo a Verificado.</t>
        </is>
      </c>
      <c r="Q6" s="13" t="inlineStr">
        <is>
          <t>Crítica</t>
        </is>
      </c>
      <c r="R6" s="8">
        <f>COUNTIF($E$5:$E$104,"Crítica")</f>
        <v/>
      </c>
    </row>
    <row r="7" ht="174.6" customHeight="1">
      <c r="A7" s="29" t="inlineStr">
        <is>
          <t>DEF-003</t>
        </is>
      </c>
      <c r="B7" s="11" t="inlineStr">
        <is>
          <t>En modo GhostMan, el toque de un fantasma de la IA no le descuenta una vida a Pacman sin PowerUp</t>
        </is>
      </c>
      <c r="C7" s="11" t="inlineStr">
        <is>
          <t>Exploratoria</t>
        </is>
      </c>
      <c r="D7" s="11" t="inlineStr">
        <is>
          <t>HU-25</t>
        </is>
      </c>
      <c r="E7" s="11" t="inlineStr">
        <is>
          <t>Mayor</t>
        </is>
      </c>
      <c r="F7" s="11" t="inlineStr">
        <is>
          <t>Media</t>
        </is>
      </c>
      <c r="G7" s="11" t="inlineStr">
        <is>
          <t>Rechazado</t>
        </is>
      </c>
      <c r="H7" s="11" t="inlineStr">
        <is>
          <t>V2 - 7ec70df</t>
        </is>
      </c>
      <c r="I7" s="11" t="inlineStr">
        <is>
          <t>Completar (navegador y resolución con los que probó Tsai)</t>
        </is>
      </c>
      <c r="J7" s="11" t="inlineStr">
        <is>
          <t>Siempre</t>
        </is>
      </c>
      <c r="K7" s="11" t="inlineStr">
        <is>
          <t>Tsai</t>
        </is>
      </c>
      <c r="L7" s="11" t="inlineStr">
        <is>
          <t>Luzzi</t>
        </is>
      </c>
      <c r="M7" s="40" t="n">
        <v>46307</v>
      </c>
      <c r="N7" s="11" t="inlineStr">
        <is>
          <t>Reportado por Tsai al probar el juego. Al triarlo se rechazó: el comportamiento es el especificado. La HU-25 dice «Solo cuentan las derrotas producidas por el fantasma del jugador: las producidas por los fantasmas de la IA no incrementan el contador», y la decisión 19 (sección 5 de la Entrega 02) define que el toque de un fantasma de la IA devuelve a Pacman a su posición inicial sin descontarle vidas. Como en modo GhostMan las vidas de Pacman son el contador de derrotas (decisión 18), descontarlas por la IA contradiría la HU-25. Lo cubren CP-078 y CP-144 (Aprobados en el ciclo 2). Si el equipo quiere cambiar la regla, va como cambio de especificación (decisión 19), no como defecto.</t>
        </is>
      </c>
      <c r="Q7" s="13" t="inlineStr">
        <is>
          <t>Mayor</t>
        </is>
      </c>
      <c r="R7" s="8">
        <f>COUNTIF($E$5:$E$104,"Mayor")</f>
        <v/>
      </c>
    </row>
    <row r="8">
      <c r="A8" s="11" t="n"/>
      <c r="B8" s="11" t="n"/>
      <c r="C8" s="11" t="n"/>
      <c r="D8" s="11" t="n"/>
      <c r="E8" s="11" t="n"/>
      <c r="F8" s="11" t="n"/>
      <c r="G8" s="11" t="n"/>
      <c r="H8" s="11" t="n"/>
      <c r="I8" s="11" t="n"/>
      <c r="J8" s="11" t="n"/>
      <c r="K8" s="11" t="n"/>
      <c r="L8" s="11" t="n"/>
      <c r="M8" s="40" t="n"/>
      <c r="N8" s="11" t="n"/>
      <c r="Q8" s="13" t="inlineStr">
        <is>
          <t>Menor</t>
        </is>
      </c>
      <c r="R8" s="8">
        <f>COUNTIF($E$5:$E$104,"Menor")</f>
        <v/>
      </c>
    </row>
    <row r="9">
      <c r="A9" s="11" t="n"/>
      <c r="B9" s="11" t="n"/>
      <c r="C9" s="11" t="n"/>
      <c r="D9" s="11" t="n"/>
      <c r="E9" s="11" t="n"/>
      <c r="F9" s="11" t="n"/>
      <c r="G9" s="11" t="n"/>
      <c r="H9" s="11" t="n"/>
      <c r="I9" s="11" t="n"/>
      <c r="J9" s="11" t="n"/>
      <c r="K9" s="11" t="n"/>
      <c r="L9" s="11" t="n"/>
      <c r="M9" s="40" t="n"/>
      <c r="N9" s="11" t="n"/>
      <c r="Q9" s="13" t="inlineStr">
        <is>
          <t>Trivial</t>
        </is>
      </c>
      <c r="R9" s="8">
        <f>COUNTIF($E$5:$E$104,"Trivial")</f>
        <v/>
      </c>
    </row>
    <row r="10">
      <c r="A10" s="11" t="n"/>
      <c r="B10" s="11" t="n"/>
      <c r="C10" s="11" t="n"/>
      <c r="D10" s="11" t="n"/>
      <c r="E10" s="11" t="n"/>
      <c r="F10" s="11" t="n"/>
      <c r="G10" s="11" t="n"/>
      <c r="H10" s="11" t="n"/>
      <c r="I10" s="11" t="n"/>
      <c r="J10" s="11" t="n"/>
      <c r="K10" s="11" t="n"/>
      <c r="L10" s="11" t="n"/>
      <c r="M10" s="40" t="n"/>
      <c r="N10" s="11" t="n"/>
      <c r="Q10" s="13" t="inlineStr">
        <is>
          <t>Total</t>
        </is>
      </c>
      <c r="R10" s="19">
        <f>COUNTA($A$5:$A$104)</f>
        <v/>
      </c>
    </row>
    <row r="11">
      <c r="A11" s="11" t="n"/>
      <c r="B11" s="11" t="n"/>
      <c r="C11" s="11" t="n"/>
      <c r="D11" s="11" t="n"/>
      <c r="E11" s="11" t="n"/>
      <c r="F11" s="11" t="n"/>
      <c r="G11" s="11" t="n"/>
      <c r="H11" s="11" t="n"/>
      <c r="I11" s="11" t="n"/>
      <c r="J11" s="11" t="n"/>
      <c r="K11" s="11" t="n"/>
      <c r="L11" s="11" t="n"/>
      <c r="M11" s="40" t="n"/>
      <c r="N11" s="11" t="n"/>
    </row>
    <row r="12">
      <c r="A12" s="11" t="n"/>
      <c r="B12" s="11" t="n"/>
      <c r="C12" s="11" t="n"/>
      <c r="D12" s="11" t="n"/>
      <c r="E12" s="11" t="n"/>
      <c r="F12" s="11" t="n"/>
      <c r="G12" s="11" t="n"/>
      <c r="H12" s="11" t="n"/>
      <c r="I12" s="11" t="n"/>
      <c r="J12" s="11" t="n"/>
      <c r="K12" s="11" t="n"/>
      <c r="L12" s="11" t="n"/>
      <c r="M12" s="40" t="n"/>
      <c r="N12" s="11" t="n"/>
      <c r="Q12" s="27" t="inlineStr">
        <is>
          <t>Defectos por estado</t>
        </is>
      </c>
      <c r="R12" s="24" t="n"/>
    </row>
    <row r="13">
      <c r="A13" s="11" t="n"/>
      <c r="B13" s="11" t="n"/>
      <c r="C13" s="11" t="n"/>
      <c r="D13" s="11" t="n"/>
      <c r="E13" s="11" t="n"/>
      <c r="F13" s="11" t="n"/>
      <c r="G13" s="11" t="n"/>
      <c r="H13" s="11" t="n"/>
      <c r="I13" s="11" t="n"/>
      <c r="J13" s="11" t="n"/>
      <c r="K13" s="11" t="n"/>
      <c r="L13" s="11" t="n"/>
      <c r="M13" s="40" t="n"/>
      <c r="N13" s="11" t="n"/>
      <c r="Q13" s="13" t="inlineStr">
        <is>
          <t>Nuevo</t>
        </is>
      </c>
      <c r="R13" s="8">
        <f>COUNTIF($G$5:$G$104,"Nuevo")</f>
        <v/>
      </c>
    </row>
    <row r="14">
      <c r="A14" s="11" t="n"/>
      <c r="B14" s="11" t="n"/>
      <c r="C14" s="11" t="n"/>
      <c r="D14" s="11" t="n"/>
      <c r="E14" s="11" t="n"/>
      <c r="F14" s="11" t="n"/>
      <c r="G14" s="11" t="n"/>
      <c r="H14" s="11" t="n"/>
      <c r="I14" s="11" t="n"/>
      <c r="J14" s="11" t="n"/>
      <c r="K14" s="11" t="n"/>
      <c r="L14" s="11" t="n"/>
      <c r="M14" s="40" t="n"/>
      <c r="N14" s="11" t="n"/>
      <c r="Q14" s="13" t="inlineStr">
        <is>
          <t>Confirmado</t>
        </is>
      </c>
      <c r="R14" s="8">
        <f>COUNTIF($G$5:$G$104,"Confirmado")</f>
        <v/>
      </c>
    </row>
    <row r="15">
      <c r="A15" s="11" t="n"/>
      <c r="B15" s="11" t="n"/>
      <c r="C15" s="11" t="n"/>
      <c r="D15" s="11" t="n"/>
      <c r="E15" s="11" t="n"/>
      <c r="F15" s="11" t="n"/>
      <c r="G15" s="11" t="n"/>
      <c r="H15" s="11" t="n"/>
      <c r="I15" s="11" t="n"/>
      <c r="J15" s="11" t="n"/>
      <c r="K15" s="11" t="n"/>
      <c r="L15" s="11" t="n"/>
      <c r="M15" s="40" t="n"/>
      <c r="N15" s="11" t="n"/>
      <c r="Q15" s="13" t="inlineStr">
        <is>
          <t>No reproducible</t>
        </is>
      </c>
      <c r="R15" s="8">
        <f>COUNTIF($G$5:$G$104,"No reproducible")</f>
        <v/>
      </c>
    </row>
    <row r="16">
      <c r="A16" s="11" t="n"/>
      <c r="B16" s="11" t="n"/>
      <c r="C16" s="11" t="n"/>
      <c r="D16" s="11" t="n"/>
      <c r="E16" s="11" t="n"/>
      <c r="F16" s="11" t="n"/>
      <c r="G16" s="11" t="n"/>
      <c r="H16" s="11" t="n"/>
      <c r="I16" s="11" t="n"/>
      <c r="J16" s="11" t="n"/>
      <c r="K16" s="11" t="n"/>
      <c r="L16" s="11" t="n"/>
      <c r="M16" s="40" t="n"/>
      <c r="N16" s="11" t="n"/>
      <c r="Q16" s="13" t="inlineStr">
        <is>
          <t>En corrección</t>
        </is>
      </c>
      <c r="R16" s="8">
        <f>COUNTIF($G$5:$G$104,"En corrección")</f>
        <v/>
      </c>
    </row>
    <row r="17">
      <c r="A17" s="11" t="n"/>
      <c r="B17" s="11" t="n"/>
      <c r="C17" s="11" t="n"/>
      <c r="D17" s="11" t="n"/>
      <c r="E17" s="11" t="n"/>
      <c r="F17" s="11" t="n"/>
      <c r="G17" s="11" t="n"/>
      <c r="H17" s="11" t="n"/>
      <c r="I17" s="11" t="n"/>
      <c r="J17" s="11" t="n"/>
      <c r="K17" s="11" t="n"/>
      <c r="L17" s="11" t="n"/>
      <c r="M17" s="40" t="n"/>
      <c r="N17" s="11" t="n"/>
      <c r="Q17" s="13" t="inlineStr">
        <is>
          <t>Corregido</t>
        </is>
      </c>
      <c r="R17" s="8">
        <f>COUNTIF($G$5:$G$104,"Corregido")</f>
        <v/>
      </c>
    </row>
    <row r="18">
      <c r="A18" s="11" t="n"/>
      <c r="B18" s="11" t="n"/>
      <c r="C18" s="11" t="n"/>
      <c r="D18" s="11" t="n"/>
      <c r="E18" s="11" t="n"/>
      <c r="F18" s="11" t="n"/>
      <c r="G18" s="11" t="n"/>
      <c r="H18" s="11" t="n"/>
      <c r="I18" s="11" t="n"/>
      <c r="J18" s="11" t="n"/>
      <c r="K18" s="11" t="n"/>
      <c r="L18" s="11" t="n"/>
      <c r="M18" s="40" t="n"/>
      <c r="N18" s="11" t="n"/>
      <c r="Q18" s="13" t="inlineStr">
        <is>
          <t>Verificado</t>
        </is>
      </c>
      <c r="R18" s="8">
        <f>COUNTIF($G$5:$G$104,"Verificado")</f>
        <v/>
      </c>
    </row>
    <row r="19">
      <c r="A19" s="11" t="n"/>
      <c r="B19" s="11" t="n"/>
      <c r="C19" s="11" t="n"/>
      <c r="D19" s="11" t="n"/>
      <c r="E19" s="11" t="n"/>
      <c r="F19" s="11" t="n"/>
      <c r="G19" s="11" t="n"/>
      <c r="H19" s="11" t="n"/>
      <c r="I19" s="11" t="n"/>
      <c r="J19" s="11" t="n"/>
      <c r="K19" s="11" t="n"/>
      <c r="L19" s="11" t="n"/>
      <c r="M19" s="40" t="n"/>
      <c r="N19" s="11" t="n"/>
      <c r="Q19" s="13" t="inlineStr">
        <is>
          <t>Diferido</t>
        </is>
      </c>
      <c r="R19" s="8">
        <f>COUNTIF($G$5:$G$104,"Diferido")</f>
        <v/>
      </c>
    </row>
    <row r="20">
      <c r="A20" s="11" t="n"/>
      <c r="B20" s="11" t="n"/>
      <c r="C20" s="11" t="n"/>
      <c r="D20" s="11" t="n"/>
      <c r="E20" s="11" t="n"/>
      <c r="F20" s="11" t="n"/>
      <c r="G20" s="11" t="n"/>
      <c r="H20" s="11" t="n"/>
      <c r="I20" s="11" t="n"/>
      <c r="J20" s="11" t="n"/>
      <c r="K20" s="11" t="n"/>
      <c r="L20" s="11" t="n"/>
      <c r="M20" s="40" t="n"/>
      <c r="N20" s="11" t="n"/>
      <c r="Q20" s="13" t="inlineStr">
        <is>
          <t>Rechazado</t>
        </is>
      </c>
      <c r="R20" s="8">
        <f>COUNTIF($G$5:$G$104,"Rechazado")</f>
        <v/>
      </c>
    </row>
    <row r="21">
      <c r="A21" s="11" t="n"/>
      <c r="B21" s="11" t="n"/>
      <c r="C21" s="11" t="n"/>
      <c r="D21" s="11" t="n"/>
      <c r="E21" s="11" t="n"/>
      <c r="F21" s="11" t="n"/>
      <c r="G21" s="11" t="n"/>
      <c r="H21" s="11" t="n"/>
      <c r="I21" s="11" t="n"/>
      <c r="J21" s="11" t="n"/>
      <c r="K21" s="11" t="n"/>
      <c r="L21" s="11" t="n"/>
      <c r="M21" s="40" t="n"/>
      <c r="N21" s="11" t="n"/>
    </row>
    <row r="22">
      <c r="A22" s="11" t="n"/>
      <c r="B22" s="11" t="n"/>
      <c r="C22" s="11" t="n"/>
      <c r="D22" s="11" t="n"/>
      <c r="E22" s="11" t="n"/>
      <c r="F22" s="11" t="n"/>
      <c r="G22" s="11" t="n"/>
      <c r="H22" s="11" t="n"/>
      <c r="I22" s="11" t="n"/>
      <c r="J22" s="11" t="n"/>
      <c r="K22" s="11" t="n"/>
      <c r="L22" s="11" t="n"/>
      <c r="M22" s="40" t="n"/>
      <c r="N22" s="11" t="n"/>
      <c r="Q22" s="27" t="inlineStr">
        <is>
          <t>Defectos por versión en que se detectaron</t>
        </is>
      </c>
      <c r="R22" s="24" t="n"/>
    </row>
    <row r="23">
      <c r="A23" s="11" t="n"/>
      <c r="B23" s="11" t="n"/>
      <c r="C23" s="11" t="n"/>
      <c r="D23" s="11" t="n"/>
      <c r="E23" s="11" t="n"/>
      <c r="F23" s="11" t="n"/>
      <c r="G23" s="11" t="n"/>
      <c r="H23" s="11" t="n"/>
      <c r="I23" s="11" t="n"/>
      <c r="J23" s="11" t="n"/>
      <c r="K23" s="11" t="n"/>
      <c r="L23" s="11" t="n"/>
      <c r="M23" s="40" t="n"/>
      <c r="N23" s="11" t="n"/>
      <c r="Q23" s="13" t="inlineStr">
        <is>
          <t>V1</t>
        </is>
      </c>
      <c r="R23" s="8">
        <f>COUNTIF($H$5:$H$104,"V1*")</f>
        <v/>
      </c>
    </row>
    <row r="24">
      <c r="A24" s="11" t="n"/>
      <c r="B24" s="11" t="n"/>
      <c r="C24" s="11" t="n"/>
      <c r="D24" s="11" t="n"/>
      <c r="E24" s="11" t="n"/>
      <c r="F24" s="11" t="n"/>
      <c r="G24" s="11" t="n"/>
      <c r="H24" s="11" t="n"/>
      <c r="I24" s="11" t="n"/>
      <c r="J24" s="11" t="n"/>
      <c r="K24" s="11" t="n"/>
      <c r="L24" s="11" t="n"/>
      <c r="M24" s="40" t="n"/>
      <c r="N24" s="11" t="n"/>
      <c r="Q24" s="13" t="inlineStr">
        <is>
          <t>V2</t>
        </is>
      </c>
      <c r="R24" s="8">
        <f>COUNTIF($H$5:$H$104,"V2*")</f>
        <v/>
      </c>
    </row>
    <row r="25">
      <c r="A25" s="11" t="n"/>
      <c r="B25" s="11" t="n"/>
      <c r="C25" s="11" t="n"/>
      <c r="D25" s="11" t="n"/>
      <c r="E25" s="11" t="n"/>
      <c r="F25" s="11" t="n"/>
      <c r="G25" s="11" t="n"/>
      <c r="H25" s="11" t="n"/>
      <c r="I25" s="11" t="n"/>
      <c r="J25" s="11" t="n"/>
      <c r="K25" s="11" t="n"/>
      <c r="L25" s="11" t="n"/>
      <c r="M25" s="40" t="n"/>
      <c r="N25" s="11" t="n"/>
    </row>
    <row r="26">
      <c r="A26" s="11" t="n"/>
      <c r="B26" s="11" t="n"/>
      <c r="C26" s="11" t="n"/>
      <c r="D26" s="11" t="n"/>
      <c r="E26" s="11" t="n"/>
      <c r="F26" s="11" t="n"/>
      <c r="G26" s="11" t="n"/>
      <c r="H26" s="11" t="n"/>
      <c r="I26" s="11" t="n"/>
      <c r="J26" s="11" t="n"/>
      <c r="K26" s="11" t="n"/>
      <c r="L26" s="11" t="n"/>
      <c r="M26" s="40" t="n"/>
      <c r="N26" s="11" t="n"/>
      <c r="Q26" s="27" t="inlineStr">
        <is>
          <t>Defectos de la V2 por funcionalidad (sin rechazados)</t>
        </is>
      </c>
      <c r="R26" s="24" t="n"/>
    </row>
    <row r="27" ht="16.2" customHeight="1">
      <c r="A27" s="11" t="n"/>
      <c r="B27" s="11" t="n"/>
      <c r="C27" s="11" t="n"/>
      <c r="D27" s="11" t="n"/>
      <c r="E27" s="11" t="n"/>
      <c r="F27" s="11" t="n"/>
      <c r="G27" s="11" t="n"/>
      <c r="H27" s="11" t="n"/>
      <c r="I27" s="11" t="n"/>
      <c r="J27" s="11" t="n"/>
      <c r="K27" s="11" t="n"/>
      <c r="L27" s="11" t="n"/>
      <c r="M27" s="40" t="n"/>
      <c r="N27" s="11" t="n"/>
      <c r="Q27" s="13" t="inlineStr">
        <is>
          <t>Menú y elección del modo (HU-22)</t>
        </is>
      </c>
      <c r="R27" s="8">
        <f>COUNTIFS($D$5:$D$104,"HU-22",$H$5:$H$104,"V2*",$G$5:$G$104,"&lt;&gt;Rechazado")</f>
        <v/>
      </c>
    </row>
    <row r="28" ht="16.2" customHeight="1">
      <c r="A28" s="11" t="n"/>
      <c r="B28" s="11" t="n"/>
      <c r="C28" s="11" t="n"/>
      <c r="D28" s="11" t="n"/>
      <c r="E28" s="11" t="n"/>
      <c r="F28" s="11" t="n"/>
      <c r="G28" s="11" t="n"/>
      <c r="H28" s="11" t="n"/>
      <c r="I28" s="11" t="n"/>
      <c r="J28" s="11" t="n"/>
      <c r="K28" s="11" t="n"/>
      <c r="L28" s="11" t="n"/>
      <c r="M28" s="40" t="n"/>
      <c r="N28" s="11" t="n"/>
      <c r="Q28" s="13" t="inlineStr">
        <is>
          <t>Carrusel de fantasmas (HU-23)</t>
        </is>
      </c>
      <c r="R28" s="8">
        <f>COUNTIFS($D$5:$D$104,"HU-23",$H$5:$H$104,"V2*",$G$5:$G$104,"&lt;&gt;Rechazado")</f>
        <v/>
      </c>
    </row>
    <row r="29" ht="29.4" customHeight="1">
      <c r="A29" s="11" t="n"/>
      <c r="B29" s="11" t="n"/>
      <c r="C29" s="11" t="n"/>
      <c r="D29" s="11" t="n"/>
      <c r="E29" s="11" t="n"/>
      <c r="F29" s="11" t="n"/>
      <c r="G29" s="11" t="n"/>
      <c r="H29" s="11" t="n"/>
      <c r="I29" s="11" t="n"/>
      <c r="J29" s="11" t="n"/>
      <c r="K29" s="11" t="n"/>
      <c r="L29" s="11" t="n"/>
      <c r="M29" s="40" t="n"/>
      <c r="N29" s="11" t="n"/>
      <c r="Q29" s="13" t="inlineStr">
        <is>
          <t>Control del fantasma e IA de Pacman (HU-24)</t>
        </is>
      </c>
      <c r="R29" s="8">
        <f>COUNTIFS($D$5:$D$104,"HU-24",$H$5:$H$104,"V2*",$G$5:$G$104,"&lt;&gt;Rechazado")</f>
        <v/>
      </c>
    </row>
    <row r="30" ht="29.4" customHeight="1">
      <c r="A30" s="11" t="n"/>
      <c r="B30" s="11" t="n"/>
      <c r="C30" s="11" t="n"/>
      <c r="D30" s="11" t="n"/>
      <c r="E30" s="11" t="n"/>
      <c r="F30" s="11" t="n"/>
      <c r="G30" s="11" t="n"/>
      <c r="H30" s="11" t="n"/>
      <c r="I30" s="11" t="n"/>
      <c r="J30" s="11" t="n"/>
      <c r="K30" s="11" t="n"/>
      <c r="L30" s="11" t="n"/>
      <c r="M30" s="40" t="n"/>
      <c r="N30" s="11" t="n"/>
      <c r="Q30" s="13" t="inlineStr">
        <is>
          <t>Reglas del modo GhostMan: derrota, victoria, puntaje (HU-25 a HU-27)</t>
        </is>
      </c>
      <c r="R30" s="8">
        <f>COUNTIFS($D$5:$D$104,"HU-25",$H$5:$H$104,"V2*",$G$5:$G$104,"&lt;&gt;Rechazado")+COUNTIFS($D$5:$D$104,"HU-26",$H$5:$H$104,"V2*",$G$5:$G$104,"&lt;&gt;Rechazado")+COUNTIFS($D$5:$D$104,"HU-27",$H$5:$H$104,"V2*",$G$5:$G$104,"&lt;&gt;Rechazado")</f>
        <v/>
      </c>
    </row>
    <row r="31" ht="16.2" customHeight="1">
      <c r="A31" s="11" t="n"/>
      <c r="B31" s="11" t="n"/>
      <c r="C31" s="11" t="n"/>
      <c r="D31" s="11" t="n"/>
      <c r="E31" s="11" t="n"/>
      <c r="F31" s="11" t="n"/>
      <c r="G31" s="11" t="n"/>
      <c r="H31" s="11" t="n"/>
      <c r="I31" s="11" t="n"/>
      <c r="J31" s="11" t="n"/>
      <c r="K31" s="11" t="n"/>
      <c r="L31" s="11" t="n"/>
      <c r="M31" s="40" t="n"/>
      <c r="N31" s="11" t="n"/>
      <c r="Q31" s="13" t="inlineStr">
        <is>
          <t>Espectro (HU-28)</t>
        </is>
      </c>
      <c r="R31" s="8">
        <f>COUNTIFS($D$5:$D$104,"HU-28",$H$5:$H$104,"V2*",$G$5:$G$104,"&lt;&gt;Rechazado")</f>
        <v/>
      </c>
    </row>
    <row r="32" ht="16.2" customHeight="1">
      <c r="A32" s="11" t="n"/>
      <c r="B32" s="11" t="n"/>
      <c r="C32" s="11" t="n"/>
      <c r="D32" s="11" t="n"/>
      <c r="E32" s="11" t="n"/>
      <c r="F32" s="11" t="n"/>
      <c r="G32" s="11" t="n"/>
      <c r="H32" s="11" t="n"/>
      <c r="I32" s="11" t="n"/>
      <c r="J32" s="11" t="n"/>
      <c r="K32" s="11" t="n"/>
      <c r="L32" s="11" t="n"/>
      <c r="M32" s="40" t="n"/>
      <c r="N32" s="11" t="n"/>
      <c r="Q32" s="13" t="inlineStr">
        <is>
          <t>Saltarín (HU-29)</t>
        </is>
      </c>
      <c r="R32" s="8">
        <f>COUNTIFS($D$5:$D$104,"HU-29",$H$5:$H$104,"V2*",$G$5:$G$104,"&lt;&gt;Rechazado")</f>
        <v/>
      </c>
    </row>
    <row r="33" ht="16.2" customHeight="1">
      <c r="A33" s="11" t="n"/>
      <c r="B33" s="11" t="n"/>
      <c r="C33" s="11" t="n"/>
      <c r="D33" s="11" t="n"/>
      <c r="E33" s="11" t="n"/>
      <c r="F33" s="11" t="n"/>
      <c r="G33" s="11" t="n"/>
      <c r="H33" s="11" t="n"/>
      <c r="I33" s="11" t="n"/>
      <c r="J33" s="11" t="n"/>
      <c r="K33" s="11" t="n"/>
      <c r="L33" s="11" t="n"/>
      <c r="M33" s="40" t="n"/>
      <c r="N33" s="11" t="n"/>
      <c r="Q33" s="13" t="inlineStr">
        <is>
          <t>Naval y frutas falsas (HU-30)</t>
        </is>
      </c>
      <c r="R33" s="8">
        <f>COUNTIFS($D$5:$D$104,"HU-30",$H$5:$H$104,"V2*",$G$5:$G$104,"&lt;&gt;Rechazado")</f>
        <v/>
      </c>
    </row>
    <row r="34" ht="16.2" customHeight="1">
      <c r="A34" s="11" t="n"/>
      <c r="B34" s="11" t="n"/>
      <c r="C34" s="11" t="n"/>
      <c r="D34" s="11" t="n"/>
      <c r="E34" s="11" t="n"/>
      <c r="F34" s="11" t="n"/>
      <c r="G34" s="11" t="n"/>
      <c r="H34" s="11" t="n"/>
      <c r="I34" s="11" t="n"/>
      <c r="J34" s="11" t="n"/>
      <c r="K34" s="11" t="n"/>
      <c r="L34" s="11" t="n"/>
      <c r="M34" s="40" t="n"/>
      <c r="N34" s="11" t="n"/>
      <c r="Q34" s="13" t="inlineStr">
        <is>
          <t>Acelerado (HU-31)</t>
        </is>
      </c>
      <c r="R34" s="8">
        <f>COUNTIFS($D$5:$D$104,"HU-31",$H$5:$H$104,"V2*",$G$5:$G$104,"&lt;&gt;Rechazado")</f>
        <v/>
      </c>
    </row>
    <row r="35" ht="16.2" customHeight="1">
      <c r="A35" s="11" t="n"/>
      <c r="B35" s="11" t="n"/>
      <c r="C35" s="11" t="n"/>
      <c r="D35" s="11" t="n"/>
      <c r="E35" s="11" t="n"/>
      <c r="F35" s="11" t="n"/>
      <c r="G35" s="11" t="n"/>
      <c r="H35" s="11" t="n"/>
      <c r="I35" s="11" t="n"/>
      <c r="J35" s="11" t="n"/>
      <c r="K35" s="11" t="n"/>
      <c r="L35" s="11" t="n"/>
      <c r="M35" s="40" t="n"/>
      <c r="N35" s="11" t="n"/>
      <c r="Q35" s="13" t="inlineStr">
        <is>
          <t>Indicador de poder (HU-32)</t>
        </is>
      </c>
      <c r="R35" s="8">
        <f>COUNTIFS($D$5:$D$104,"HU-32",$H$5:$H$104,"V2*",$G$5:$G$104,"&lt;&gt;Rechazado")</f>
        <v/>
      </c>
    </row>
    <row r="36" ht="29.4" customHeight="1">
      <c r="A36" s="11" t="n"/>
      <c r="B36" s="11" t="n"/>
      <c r="C36" s="11" t="n"/>
      <c r="D36" s="11" t="n"/>
      <c r="E36" s="11" t="n"/>
      <c r="F36" s="11" t="n"/>
      <c r="G36" s="11" t="n"/>
      <c r="H36" s="11" t="n"/>
      <c r="I36" s="11" t="n"/>
      <c r="J36" s="11" t="n"/>
      <c r="K36" s="11" t="n"/>
      <c r="L36" s="11" t="n"/>
      <c r="M36" s="40" t="n"/>
      <c r="N36" s="11" t="n"/>
      <c r="Q36" s="13" t="inlineStr">
        <is>
          <t>Dificultad del modo GhostMan: paredes y esferas grandes (HU-33, HU-34)</t>
        </is>
      </c>
      <c r="R36" s="8">
        <f>COUNTIFS($D$5:$D$104,"HU-33",$H$5:$H$104,"V2*",$G$5:$G$104,"&lt;&gt;Rechazado")+COUNTIFS($D$5:$D$104,"HU-34",$H$5:$H$104,"V2*",$G$5:$G$104,"&lt;&gt;Rechazado")</f>
        <v/>
      </c>
    </row>
    <row r="37" ht="29.4" customHeight="1">
      <c r="A37" s="11" t="n"/>
      <c r="B37" s="11" t="n"/>
      <c r="C37" s="11" t="n"/>
      <c r="D37" s="11" t="n"/>
      <c r="E37" s="11" t="n"/>
      <c r="F37" s="11" t="n"/>
      <c r="G37" s="11" t="n"/>
      <c r="H37" s="11" t="n"/>
      <c r="I37" s="11" t="n"/>
      <c r="J37" s="11" t="n"/>
      <c r="K37" s="11" t="n"/>
      <c r="L37" s="11" t="n"/>
      <c r="M37" s="40" t="n"/>
      <c r="N37" s="11" t="n"/>
      <c r="Q37" s="13" t="inlineStr">
        <is>
          <t>Fantasmas especiales en el modo Pacman (HU-43)</t>
        </is>
      </c>
      <c r="R37" s="8">
        <f>COUNTIFS($D$5:$D$104,"HU-43",$H$5:$H$104,"V2*",$G$5:$G$104,"&lt;&gt;Rechazado")</f>
        <v/>
      </c>
    </row>
    <row r="38">
      <c r="A38" s="11" t="n"/>
      <c r="B38" s="11" t="n"/>
      <c r="C38" s="11" t="n"/>
      <c r="D38" s="11" t="n"/>
      <c r="E38" s="11" t="n"/>
      <c r="F38" s="11" t="n"/>
      <c r="G38" s="11" t="n"/>
      <c r="H38" s="11" t="n"/>
      <c r="I38" s="11" t="n"/>
      <c r="J38" s="11" t="n"/>
      <c r="K38" s="11" t="n"/>
      <c r="L38" s="11" t="n"/>
      <c r="M38" s="40" t="n"/>
      <c r="N38" s="11" t="n"/>
      <c r="Q38" s="13" t="inlineStr">
        <is>
          <t>Total V2</t>
        </is>
      </c>
      <c r="R38" s="19">
        <f>SUM(R27:R37)</f>
        <v/>
      </c>
    </row>
    <row r="39">
      <c r="A39" s="11" t="n"/>
      <c r="B39" s="11" t="n"/>
      <c r="C39" s="11" t="n"/>
      <c r="D39" s="11" t="n"/>
      <c r="E39" s="11" t="n"/>
      <c r="F39" s="11" t="n"/>
      <c r="G39" s="11" t="n"/>
      <c r="H39" s="11" t="n"/>
      <c r="I39" s="11" t="n"/>
      <c r="J39" s="11" t="n"/>
      <c r="K39" s="11" t="n"/>
      <c r="L39" s="11" t="n"/>
      <c r="M39" s="40" t="n"/>
      <c r="N39" s="11" t="n"/>
    </row>
    <row r="40">
      <c r="A40" s="11" t="n"/>
      <c r="B40" s="11" t="n"/>
      <c r="C40" s="11" t="n"/>
      <c r="D40" s="11" t="n"/>
      <c r="E40" s="11" t="n"/>
      <c r="F40" s="11" t="n"/>
      <c r="G40" s="11" t="n"/>
      <c r="H40" s="11" t="n"/>
      <c r="I40" s="11" t="n"/>
      <c r="J40" s="11" t="n"/>
      <c r="K40" s="11" t="n"/>
      <c r="L40" s="11" t="n"/>
      <c r="M40" s="40" t="n"/>
      <c r="N40" s="11" t="n"/>
      <c r="Q40" s="27" t="inlineStr">
        <is>
          <t>Defectos por épica (según el CP)</t>
        </is>
      </c>
      <c r="R40" s="24" t="n"/>
    </row>
    <row r="41">
      <c r="A41" s="11" t="n"/>
      <c r="B41" s="11" t="n"/>
      <c r="C41" s="11" t="n"/>
      <c r="D41" s="11" t="n"/>
      <c r="E41" s="11" t="n"/>
      <c r="F41" s="11" t="n"/>
      <c r="G41" s="11" t="n"/>
      <c r="H41" s="11" t="n"/>
      <c r="I41" s="11" t="n"/>
      <c r="J41" s="11" t="n"/>
      <c r="K41" s="11" t="n"/>
      <c r="L41" s="11" t="n"/>
      <c r="M41" s="40" t="n"/>
      <c r="N41" s="11" t="n"/>
      <c r="Q41" s="13" t="inlineStr">
        <is>
          <t>E1 — Núcleo de juego y movimiento</t>
        </is>
      </c>
      <c r="R41" s="8">
        <f>COUNTIF($D$5:$D$104,"HU-01")+COUNTIF($D$5:$D$104,"HU-02")+COUNTIF($D$5:$D$104,"HU-03")+COUNTIF($D$5:$D$104,"HU-04")</f>
        <v/>
      </c>
    </row>
    <row r="42">
      <c r="A42" s="11" t="n"/>
      <c r="B42" s="11" t="n"/>
      <c r="C42" s="11" t="n"/>
      <c r="D42" s="11" t="n"/>
      <c r="E42" s="11" t="n"/>
      <c r="F42" s="11" t="n"/>
      <c r="G42" s="11" t="n"/>
      <c r="H42" s="11" t="n"/>
      <c r="I42" s="11" t="n"/>
      <c r="J42" s="11" t="n"/>
      <c r="K42" s="11" t="n"/>
      <c r="L42" s="11" t="n"/>
      <c r="M42" s="40" t="n"/>
      <c r="N42" s="11" t="n"/>
      <c r="Q42" s="13" t="inlineStr">
        <is>
          <t>E2 — PowerUp e interacción con fantasmas</t>
        </is>
      </c>
      <c r="R42" s="8">
        <f>COUNTIF($D$5:$D$104,"HU-05")+COUNTIF($D$5:$D$104,"HU-06")+COUNTIF($D$5:$D$104,"HU-07")+COUNTIF($D$5:$D$104,"HU-08")</f>
        <v/>
      </c>
    </row>
    <row r="43">
      <c r="A43" s="11" t="n"/>
      <c r="B43" s="11" t="n"/>
      <c r="C43" s="11" t="n"/>
      <c r="D43" s="11" t="n"/>
      <c r="E43" s="11" t="n"/>
      <c r="F43" s="11" t="n"/>
      <c r="G43" s="11" t="n"/>
      <c r="H43" s="11" t="n"/>
      <c r="I43" s="11" t="n"/>
      <c r="J43" s="11" t="n"/>
      <c r="K43" s="11" t="n"/>
      <c r="L43" s="11" t="n"/>
      <c r="M43" s="40" t="n"/>
      <c r="N43" s="11" t="n"/>
      <c r="Q43" s="13" t="inlineStr">
        <is>
          <t>E3 — Vidas, puntaje y fin de partida</t>
        </is>
      </c>
      <c r="R43" s="8">
        <f>COUNTIF($D$5:$D$104,"HU-09")+COUNTIF($D$5:$D$104,"HU-10")+COUNTIF($D$5:$D$104,"HU-11")+COUNTIF($D$5:$D$104,"HU-12")+COUNTIF($D$5:$D$104,"HU-13")+COUNTIF($D$5:$D$104,"HU-14")</f>
        <v/>
      </c>
    </row>
    <row r="44">
      <c r="A44" s="11" t="n"/>
      <c r="B44" s="11" t="n"/>
      <c r="C44" s="11" t="n"/>
      <c r="D44" s="11" t="n"/>
      <c r="E44" s="11" t="n"/>
      <c r="F44" s="11" t="n"/>
      <c r="G44" s="11" t="n"/>
      <c r="H44" s="11" t="n"/>
      <c r="I44" s="11" t="n"/>
      <c r="J44" s="11" t="n"/>
      <c r="K44" s="11" t="n"/>
      <c r="L44" s="11" t="n"/>
      <c r="M44" s="40" t="n"/>
      <c r="N44" s="11" t="n"/>
      <c r="Q44" s="13" t="inlineStr">
        <is>
          <t>E4 — Niveles y progresión de dificultad</t>
        </is>
      </c>
      <c r="R44" s="8">
        <f>COUNTIF($D$5:$D$104,"HU-15")+COUNTIF($D$5:$D$104,"HU-16")+COUNTIF($D$5:$D$104,"HU-17")+COUNTIF($D$5:$D$104,"HU-18")+COUNTIF($D$5:$D$104,"HU-19")+COUNTIF($D$5:$D$104,"HU-43")</f>
        <v/>
      </c>
    </row>
    <row r="45">
      <c r="A45" s="11" t="n"/>
      <c r="B45" s="11" t="n"/>
      <c r="C45" s="11" t="n"/>
      <c r="D45" s="11" t="n"/>
      <c r="E45" s="11" t="n"/>
      <c r="F45" s="11" t="n"/>
      <c r="G45" s="11" t="n"/>
      <c r="H45" s="11" t="n"/>
      <c r="I45" s="11" t="n"/>
      <c r="J45" s="11" t="n"/>
      <c r="K45" s="11" t="n"/>
      <c r="L45" s="11" t="n"/>
      <c r="M45" s="40" t="n"/>
      <c r="N45" s="11" t="n"/>
      <c r="Q45" s="13" t="inlineStr">
        <is>
          <t>E5 — Control de la partida</t>
        </is>
      </c>
      <c r="R45" s="8">
        <f>COUNTIF($D$5:$D$104,"HU-20")+COUNTIF($D$5:$D$104,"HU-21")</f>
        <v/>
      </c>
    </row>
    <row r="46">
      <c r="A46" s="11" t="n"/>
      <c r="B46" s="11" t="n"/>
      <c r="C46" s="11" t="n"/>
      <c r="D46" s="11" t="n"/>
      <c r="E46" s="11" t="n"/>
      <c r="F46" s="11" t="n"/>
      <c r="G46" s="11" t="n"/>
      <c r="H46" s="11" t="n"/>
      <c r="I46" s="11" t="n"/>
      <c r="J46" s="11" t="n"/>
      <c r="K46" s="11" t="n"/>
      <c r="L46" s="11" t="n"/>
      <c r="M46" s="40" t="n"/>
      <c r="N46" s="11" t="n"/>
      <c r="Q46" s="13" t="inlineStr">
        <is>
          <t>E6 — Modo GhostMan</t>
        </is>
      </c>
      <c r="R46" s="8">
        <f>COUNTIF($D$5:$D$104,"HU-19")+COUNTIF($D$5:$D$104,"HU-22")+COUNTIF($D$5:$D$104,"HU-23")+COUNTIF($D$5:$D$104,"HU-24")+COUNTIF($D$5:$D$104,"HU-25")+COUNTIF($D$5:$D$104,"HU-26")+COUNTIF($D$5:$D$104,"HU-27")</f>
        <v/>
      </c>
    </row>
    <row r="47">
      <c r="A47" s="11" t="n"/>
      <c r="B47" s="11" t="n"/>
      <c r="C47" s="11" t="n"/>
      <c r="D47" s="11" t="n"/>
      <c r="E47" s="11" t="n"/>
      <c r="F47" s="11" t="n"/>
      <c r="G47" s="11" t="n"/>
      <c r="H47" s="11" t="n"/>
      <c r="I47" s="11" t="n"/>
      <c r="J47" s="11" t="n"/>
      <c r="K47" s="11" t="n"/>
      <c r="L47" s="11" t="n"/>
      <c r="M47" s="40" t="n"/>
      <c r="N47" s="11" t="n"/>
      <c r="Q47" s="13" t="inlineStr">
        <is>
          <t>E7 — Poderes de los fantasmas</t>
        </is>
      </c>
      <c r="R47" s="8">
        <f>COUNTIF($D$5:$D$104,"HU-28")+COUNTIF($D$5:$D$104,"HU-29")+COUNTIF($D$5:$D$104,"HU-30")+COUNTIF($D$5:$D$104,"HU-31")+COUNTIF($D$5:$D$104,"HU-32")</f>
        <v/>
      </c>
    </row>
    <row r="48">
      <c r="A48" s="11" t="n"/>
      <c r="B48" s="11" t="n"/>
      <c r="C48" s="11" t="n"/>
      <c r="D48" s="11" t="n"/>
      <c r="E48" s="11" t="n"/>
      <c r="F48" s="11" t="n"/>
      <c r="G48" s="11" t="n"/>
      <c r="H48" s="11" t="n"/>
      <c r="I48" s="11" t="n"/>
      <c r="J48" s="11" t="n"/>
      <c r="K48" s="11" t="n"/>
      <c r="L48" s="11" t="n"/>
      <c r="M48" s="40" t="n"/>
      <c r="N48" s="11" t="n"/>
      <c r="Q48" s="13" t="inlineStr">
        <is>
          <t>E8 — Dificultad del modo GhostMan</t>
        </is>
      </c>
      <c r="R48" s="8">
        <f>COUNTIF($D$5:$D$104,"HU-33")+COUNTIF($D$5:$D$104,"HU-34")</f>
        <v/>
      </c>
    </row>
    <row r="49">
      <c r="A49" s="11" t="n"/>
      <c r="B49" s="11" t="n"/>
      <c r="C49" s="11" t="n"/>
      <c r="D49" s="11" t="n"/>
      <c r="E49" s="11" t="n"/>
      <c r="F49" s="11" t="n"/>
      <c r="G49" s="11" t="n"/>
      <c r="H49" s="11" t="n"/>
      <c r="I49" s="11" t="n"/>
      <c r="J49" s="11" t="n"/>
      <c r="K49" s="11" t="n"/>
      <c r="L49" s="11" t="n"/>
      <c r="M49" s="40" t="n"/>
      <c r="N49" s="11" t="n"/>
    </row>
    <row r="50">
      <c r="A50" s="11" t="n"/>
      <c r="B50" s="11" t="n"/>
      <c r="C50" s="11" t="n"/>
      <c r="D50" s="11" t="n"/>
      <c r="E50" s="11" t="n"/>
      <c r="F50" s="11" t="n"/>
      <c r="G50" s="11" t="n"/>
      <c r="H50" s="11" t="n"/>
      <c r="I50" s="11" t="n"/>
      <c r="J50" s="11" t="n"/>
      <c r="K50" s="11" t="n"/>
      <c r="L50" s="11" t="n"/>
      <c r="M50" s="40" t="n"/>
      <c r="N50" s="11" t="n"/>
    </row>
    <row r="51">
      <c r="A51" s="11" t="n"/>
      <c r="B51" s="11" t="n"/>
      <c r="C51" s="11" t="n"/>
      <c r="D51" s="11" t="n"/>
      <c r="E51" s="11" t="n"/>
      <c r="F51" s="11" t="n"/>
      <c r="G51" s="11" t="n"/>
      <c r="H51" s="11" t="n"/>
      <c r="I51" s="11" t="n"/>
      <c r="J51" s="11" t="n"/>
      <c r="K51" s="11" t="n"/>
      <c r="L51" s="11" t="n"/>
      <c r="M51" s="40" t="n"/>
      <c r="N51" s="11" t="n"/>
    </row>
    <row r="52">
      <c r="A52" s="11" t="n"/>
      <c r="B52" s="11" t="n"/>
      <c r="C52" s="11" t="n"/>
      <c r="D52" s="11" t="n"/>
      <c r="E52" s="11" t="n"/>
      <c r="F52" s="11" t="n"/>
      <c r="G52" s="11" t="n"/>
      <c r="H52" s="11" t="n"/>
      <c r="I52" s="11" t="n"/>
      <c r="J52" s="11" t="n"/>
      <c r="K52" s="11" t="n"/>
      <c r="L52" s="11" t="n"/>
      <c r="M52" s="40" t="n"/>
      <c r="N52" s="11" t="n"/>
    </row>
    <row r="53">
      <c r="A53" s="11" t="n"/>
      <c r="B53" s="11" t="n"/>
      <c r="C53" s="11" t="n"/>
      <c r="D53" s="11" t="n"/>
      <c r="E53" s="11" t="n"/>
      <c r="F53" s="11" t="n"/>
      <c r="G53" s="11" t="n"/>
      <c r="H53" s="11" t="n"/>
      <c r="I53" s="11" t="n"/>
      <c r="J53" s="11" t="n"/>
      <c r="K53" s="11" t="n"/>
      <c r="L53" s="11" t="n"/>
      <c r="M53" s="40" t="n"/>
      <c r="N53" s="11" t="n"/>
    </row>
    <row r="54">
      <c r="A54" s="11" t="n"/>
      <c r="B54" s="11" t="n"/>
      <c r="C54" s="11" t="n"/>
      <c r="D54" s="11" t="n"/>
      <c r="E54" s="11" t="n"/>
      <c r="F54" s="11" t="n"/>
      <c r="G54" s="11" t="n"/>
      <c r="H54" s="11" t="n"/>
      <c r="I54" s="11" t="n"/>
      <c r="J54" s="11" t="n"/>
      <c r="K54" s="11" t="n"/>
      <c r="L54" s="11" t="n"/>
      <c r="M54" s="40" t="n"/>
      <c r="N54" s="11" t="n"/>
    </row>
    <row r="55">
      <c r="A55" s="11" t="n"/>
      <c r="B55" s="11" t="n"/>
      <c r="C55" s="11" t="n"/>
      <c r="D55" s="11" t="n"/>
      <c r="E55" s="11" t="n"/>
      <c r="F55" s="11" t="n"/>
      <c r="G55" s="11" t="n"/>
      <c r="H55" s="11" t="n"/>
      <c r="I55" s="11" t="n"/>
      <c r="J55" s="11" t="n"/>
      <c r="K55" s="11" t="n"/>
      <c r="L55" s="11" t="n"/>
      <c r="M55" s="40" t="n"/>
      <c r="N55" s="11" t="n"/>
    </row>
    <row r="56">
      <c r="A56" s="11" t="n"/>
      <c r="B56" s="11" t="n"/>
      <c r="C56" s="11" t="n"/>
      <c r="D56" s="11" t="n"/>
      <c r="E56" s="11" t="n"/>
      <c r="F56" s="11" t="n"/>
      <c r="G56" s="11" t="n"/>
      <c r="H56" s="11" t="n"/>
      <c r="I56" s="11" t="n"/>
      <c r="J56" s="11" t="n"/>
      <c r="K56" s="11" t="n"/>
      <c r="L56" s="11" t="n"/>
      <c r="M56" s="40" t="n"/>
      <c r="N56" s="11" t="n"/>
    </row>
    <row r="57">
      <c r="A57" s="11" t="n"/>
      <c r="B57" s="11" t="n"/>
      <c r="C57" s="11" t="n"/>
      <c r="D57" s="11" t="n"/>
      <c r="E57" s="11" t="n"/>
      <c r="F57" s="11" t="n"/>
      <c r="G57" s="11" t="n"/>
      <c r="H57" s="11" t="n"/>
      <c r="I57" s="11" t="n"/>
      <c r="J57" s="11" t="n"/>
      <c r="K57" s="11" t="n"/>
      <c r="L57" s="11" t="n"/>
      <c r="M57" s="40" t="n"/>
      <c r="N57" s="11" t="n"/>
    </row>
    <row r="58">
      <c r="A58" s="11" t="n"/>
      <c r="B58" s="11" t="n"/>
      <c r="C58" s="11" t="n"/>
      <c r="D58" s="11" t="n"/>
      <c r="E58" s="11" t="n"/>
      <c r="F58" s="11" t="n"/>
      <c r="G58" s="11" t="n"/>
      <c r="H58" s="11" t="n"/>
      <c r="I58" s="11" t="n"/>
      <c r="J58" s="11" t="n"/>
      <c r="K58" s="11" t="n"/>
      <c r="L58" s="11" t="n"/>
      <c r="M58" s="40" t="n"/>
      <c r="N58" s="11" t="n"/>
    </row>
    <row r="59">
      <c r="A59" s="11" t="n"/>
      <c r="B59" s="11" t="n"/>
      <c r="C59" s="11" t="n"/>
      <c r="D59" s="11" t="n"/>
      <c r="E59" s="11" t="n"/>
      <c r="F59" s="11" t="n"/>
      <c r="G59" s="11" t="n"/>
      <c r="H59" s="11" t="n"/>
      <c r="I59" s="11" t="n"/>
      <c r="J59" s="11" t="n"/>
      <c r="K59" s="11" t="n"/>
      <c r="L59" s="11" t="n"/>
      <c r="M59" s="40" t="n"/>
      <c r="N59" s="11" t="n"/>
    </row>
    <row r="60">
      <c r="A60" s="11" t="n"/>
      <c r="B60" s="11" t="n"/>
      <c r="C60" s="11" t="n"/>
      <c r="D60" s="11" t="n"/>
      <c r="E60" s="11" t="n"/>
      <c r="F60" s="11" t="n"/>
      <c r="G60" s="11" t="n"/>
      <c r="H60" s="11" t="n"/>
      <c r="I60" s="11" t="n"/>
      <c r="J60" s="11" t="n"/>
      <c r="K60" s="11" t="n"/>
      <c r="L60" s="11" t="n"/>
      <c r="M60" s="40" t="n"/>
      <c r="N60" s="11" t="n"/>
    </row>
    <row r="61">
      <c r="A61" s="11" t="n"/>
      <c r="B61" s="11" t="n"/>
      <c r="C61" s="11" t="n"/>
      <c r="D61" s="11" t="n"/>
      <c r="E61" s="11" t="n"/>
      <c r="F61" s="11" t="n"/>
      <c r="G61" s="11" t="n"/>
      <c r="H61" s="11" t="n"/>
      <c r="I61" s="11" t="n"/>
      <c r="J61" s="11" t="n"/>
      <c r="K61" s="11" t="n"/>
      <c r="L61" s="11" t="n"/>
      <c r="M61" s="40" t="n"/>
      <c r="N61" s="11" t="n"/>
    </row>
    <row r="62">
      <c r="A62" s="11" t="n"/>
      <c r="B62" s="11" t="n"/>
      <c r="C62" s="11" t="n"/>
      <c r="D62" s="11" t="n"/>
      <c r="E62" s="11" t="n"/>
      <c r="F62" s="11" t="n"/>
      <c r="G62" s="11" t="n"/>
      <c r="H62" s="11" t="n"/>
      <c r="I62" s="11" t="n"/>
      <c r="J62" s="11" t="n"/>
      <c r="K62" s="11" t="n"/>
      <c r="L62" s="11" t="n"/>
      <c r="M62" s="40" t="n"/>
      <c r="N62" s="11" t="n"/>
    </row>
    <row r="63">
      <c r="A63" s="11" t="n"/>
      <c r="B63" s="11" t="n"/>
      <c r="C63" s="11" t="n"/>
      <c r="D63" s="11" t="n"/>
      <c r="E63" s="11" t="n"/>
      <c r="F63" s="11" t="n"/>
      <c r="G63" s="11" t="n"/>
      <c r="H63" s="11" t="n"/>
      <c r="I63" s="11" t="n"/>
      <c r="J63" s="11" t="n"/>
      <c r="K63" s="11" t="n"/>
      <c r="L63" s="11" t="n"/>
      <c r="M63" s="40" t="n"/>
      <c r="N63" s="11" t="n"/>
    </row>
    <row r="64">
      <c r="A64" s="11" t="n"/>
      <c r="B64" s="11" t="n"/>
      <c r="C64" s="11" t="n"/>
      <c r="D64" s="11" t="n"/>
      <c r="E64" s="11" t="n"/>
      <c r="F64" s="11" t="n"/>
      <c r="G64" s="11" t="n"/>
      <c r="H64" s="11" t="n"/>
      <c r="I64" s="11" t="n"/>
      <c r="J64" s="11" t="n"/>
      <c r="K64" s="11" t="n"/>
      <c r="L64" s="11" t="n"/>
      <c r="M64" s="40" t="n"/>
      <c r="N64" s="11" t="n"/>
    </row>
    <row r="65">
      <c r="A65" s="11" t="n"/>
      <c r="B65" s="11" t="n"/>
      <c r="C65" s="11" t="n"/>
      <c r="D65" s="11" t="n"/>
      <c r="E65" s="11" t="n"/>
      <c r="F65" s="11" t="n"/>
      <c r="G65" s="11" t="n"/>
      <c r="H65" s="11" t="n"/>
      <c r="I65" s="11" t="n"/>
      <c r="J65" s="11" t="n"/>
      <c r="K65" s="11" t="n"/>
      <c r="L65" s="11" t="n"/>
      <c r="M65" s="40" t="n"/>
      <c r="N65" s="11" t="n"/>
    </row>
    <row r="66">
      <c r="A66" s="11" t="n"/>
      <c r="B66" s="11" t="n"/>
      <c r="C66" s="11" t="n"/>
      <c r="D66" s="11" t="n"/>
      <c r="E66" s="11" t="n"/>
      <c r="F66" s="11" t="n"/>
      <c r="G66" s="11" t="n"/>
      <c r="H66" s="11" t="n"/>
      <c r="I66" s="11" t="n"/>
      <c r="J66" s="11" t="n"/>
      <c r="K66" s="11" t="n"/>
      <c r="L66" s="11" t="n"/>
      <c r="M66" s="40" t="n"/>
      <c r="N66" s="11" t="n"/>
    </row>
    <row r="67">
      <c r="A67" s="11" t="n"/>
      <c r="B67" s="11" t="n"/>
      <c r="C67" s="11" t="n"/>
      <c r="D67" s="11" t="n"/>
      <c r="E67" s="11" t="n"/>
      <c r="F67" s="11" t="n"/>
      <c r="G67" s="11" t="n"/>
      <c r="H67" s="11" t="n"/>
      <c r="I67" s="11" t="n"/>
      <c r="J67" s="11" t="n"/>
      <c r="K67" s="11" t="n"/>
      <c r="L67" s="11" t="n"/>
      <c r="M67" s="40" t="n"/>
      <c r="N67" s="11" t="n"/>
    </row>
    <row r="68">
      <c r="A68" s="11" t="n"/>
      <c r="B68" s="11" t="n"/>
      <c r="C68" s="11" t="n"/>
      <c r="D68" s="11" t="n"/>
      <c r="E68" s="11" t="n"/>
      <c r="F68" s="11" t="n"/>
      <c r="G68" s="11" t="n"/>
      <c r="H68" s="11" t="n"/>
      <c r="I68" s="11" t="n"/>
      <c r="J68" s="11" t="n"/>
      <c r="K68" s="11" t="n"/>
      <c r="L68" s="11" t="n"/>
      <c r="M68" s="40" t="n"/>
      <c r="N68" s="11" t="n"/>
    </row>
    <row r="69">
      <c r="A69" s="11" t="n"/>
      <c r="B69" s="11" t="n"/>
      <c r="C69" s="11" t="n"/>
      <c r="D69" s="11" t="n"/>
      <c r="E69" s="11" t="n"/>
      <c r="F69" s="11" t="n"/>
      <c r="G69" s="11" t="n"/>
      <c r="H69" s="11" t="n"/>
      <c r="I69" s="11" t="n"/>
      <c r="J69" s="11" t="n"/>
      <c r="K69" s="11" t="n"/>
      <c r="L69" s="11" t="n"/>
      <c r="M69" s="40" t="n"/>
      <c r="N69" s="11" t="n"/>
    </row>
    <row r="70">
      <c r="A70" s="11" t="n"/>
      <c r="B70" s="11" t="n"/>
      <c r="C70" s="11" t="n"/>
      <c r="D70" s="11" t="n"/>
      <c r="E70" s="11" t="n"/>
      <c r="F70" s="11" t="n"/>
      <c r="G70" s="11" t="n"/>
      <c r="H70" s="11" t="n"/>
      <c r="I70" s="11" t="n"/>
      <c r="J70" s="11" t="n"/>
      <c r="K70" s="11" t="n"/>
      <c r="L70" s="11" t="n"/>
      <c r="M70" s="40" t="n"/>
      <c r="N70" s="11" t="n"/>
    </row>
    <row r="71">
      <c r="A71" s="11" t="n"/>
      <c r="B71" s="11" t="n"/>
      <c r="C71" s="11" t="n"/>
      <c r="D71" s="11" t="n"/>
      <c r="E71" s="11" t="n"/>
      <c r="F71" s="11" t="n"/>
      <c r="G71" s="11" t="n"/>
      <c r="H71" s="11" t="n"/>
      <c r="I71" s="11" t="n"/>
      <c r="J71" s="11" t="n"/>
      <c r="K71" s="11" t="n"/>
      <c r="L71" s="11" t="n"/>
      <c r="M71" s="40" t="n"/>
      <c r="N71" s="11" t="n"/>
    </row>
    <row r="72">
      <c r="A72" s="11" t="n"/>
      <c r="B72" s="11" t="n"/>
      <c r="C72" s="11" t="n"/>
      <c r="D72" s="11" t="n"/>
      <c r="E72" s="11" t="n"/>
      <c r="F72" s="11" t="n"/>
      <c r="G72" s="11" t="n"/>
      <c r="H72" s="11" t="n"/>
      <c r="I72" s="11" t="n"/>
      <c r="J72" s="11" t="n"/>
      <c r="K72" s="11" t="n"/>
      <c r="L72" s="11" t="n"/>
      <c r="M72" s="40" t="n"/>
      <c r="N72" s="11" t="n"/>
    </row>
    <row r="73">
      <c r="A73" s="11" t="n"/>
      <c r="B73" s="11" t="n"/>
      <c r="C73" s="11" t="n"/>
      <c r="D73" s="11" t="n"/>
      <c r="E73" s="11" t="n"/>
      <c r="F73" s="11" t="n"/>
      <c r="G73" s="11" t="n"/>
      <c r="H73" s="11" t="n"/>
      <c r="I73" s="11" t="n"/>
      <c r="J73" s="11" t="n"/>
      <c r="K73" s="11" t="n"/>
      <c r="L73" s="11" t="n"/>
      <c r="M73" s="40" t="n"/>
      <c r="N73" s="11" t="n"/>
    </row>
    <row r="74">
      <c r="A74" s="11" t="n"/>
      <c r="B74" s="11" t="n"/>
      <c r="C74" s="11" t="n"/>
      <c r="D74" s="11" t="n"/>
      <c r="E74" s="11" t="n"/>
      <c r="F74" s="11" t="n"/>
      <c r="G74" s="11" t="n"/>
      <c r="H74" s="11" t="n"/>
      <c r="I74" s="11" t="n"/>
      <c r="J74" s="11" t="n"/>
      <c r="K74" s="11" t="n"/>
      <c r="L74" s="11" t="n"/>
      <c r="M74" s="40" t="n"/>
      <c r="N74" s="11" t="n"/>
    </row>
    <row r="75">
      <c r="A75" s="11" t="n"/>
      <c r="B75" s="11" t="n"/>
      <c r="C75" s="11" t="n"/>
      <c r="D75" s="11" t="n"/>
      <c r="E75" s="11" t="n"/>
      <c r="F75" s="11" t="n"/>
      <c r="G75" s="11" t="n"/>
      <c r="H75" s="11" t="n"/>
      <c r="I75" s="11" t="n"/>
      <c r="J75" s="11" t="n"/>
      <c r="K75" s="11" t="n"/>
      <c r="L75" s="11" t="n"/>
      <c r="M75" s="40" t="n"/>
      <c r="N75" s="11" t="n"/>
    </row>
    <row r="76">
      <c r="A76" s="11" t="n"/>
      <c r="B76" s="11" t="n"/>
      <c r="C76" s="11" t="n"/>
      <c r="D76" s="11" t="n"/>
      <c r="E76" s="11" t="n"/>
      <c r="F76" s="11" t="n"/>
      <c r="G76" s="11" t="n"/>
      <c r="H76" s="11" t="n"/>
      <c r="I76" s="11" t="n"/>
      <c r="J76" s="11" t="n"/>
      <c r="K76" s="11" t="n"/>
      <c r="L76" s="11" t="n"/>
      <c r="M76" s="40" t="n"/>
      <c r="N76" s="11" t="n"/>
    </row>
    <row r="77">
      <c r="A77" s="11" t="n"/>
      <c r="B77" s="11" t="n"/>
      <c r="C77" s="11" t="n"/>
      <c r="D77" s="11" t="n"/>
      <c r="E77" s="11" t="n"/>
      <c r="F77" s="11" t="n"/>
      <c r="G77" s="11" t="n"/>
      <c r="H77" s="11" t="n"/>
      <c r="I77" s="11" t="n"/>
      <c r="J77" s="11" t="n"/>
      <c r="K77" s="11" t="n"/>
      <c r="L77" s="11" t="n"/>
      <c r="M77" s="40" t="n"/>
      <c r="N77" s="11" t="n"/>
    </row>
    <row r="78">
      <c r="A78" s="11" t="n"/>
      <c r="B78" s="11" t="n"/>
      <c r="C78" s="11" t="n"/>
      <c r="D78" s="11" t="n"/>
      <c r="E78" s="11" t="n"/>
      <c r="F78" s="11" t="n"/>
      <c r="G78" s="11" t="n"/>
      <c r="H78" s="11" t="n"/>
      <c r="I78" s="11" t="n"/>
      <c r="J78" s="11" t="n"/>
      <c r="K78" s="11" t="n"/>
      <c r="L78" s="11" t="n"/>
      <c r="M78" s="40" t="n"/>
      <c r="N78" s="11" t="n"/>
    </row>
    <row r="79">
      <c r="A79" s="11" t="n"/>
      <c r="B79" s="11" t="n"/>
      <c r="C79" s="11" t="n"/>
      <c r="D79" s="11" t="n"/>
      <c r="E79" s="11" t="n"/>
      <c r="F79" s="11" t="n"/>
      <c r="G79" s="11" t="n"/>
      <c r="H79" s="11" t="n"/>
      <c r="I79" s="11" t="n"/>
      <c r="J79" s="11" t="n"/>
      <c r="K79" s="11" t="n"/>
      <c r="L79" s="11" t="n"/>
      <c r="M79" s="40" t="n"/>
      <c r="N79" s="11" t="n"/>
    </row>
    <row r="80">
      <c r="A80" s="11" t="n"/>
      <c r="B80" s="11" t="n"/>
      <c r="C80" s="11" t="n"/>
      <c r="D80" s="11" t="n"/>
      <c r="E80" s="11" t="n"/>
      <c r="F80" s="11" t="n"/>
      <c r="G80" s="11" t="n"/>
      <c r="H80" s="11" t="n"/>
      <c r="I80" s="11" t="n"/>
      <c r="J80" s="11" t="n"/>
      <c r="K80" s="11" t="n"/>
      <c r="L80" s="11" t="n"/>
      <c r="M80" s="40" t="n"/>
      <c r="N80" s="11" t="n"/>
    </row>
    <row r="81">
      <c r="A81" s="11" t="n"/>
      <c r="B81" s="11" t="n"/>
      <c r="C81" s="11" t="n"/>
      <c r="D81" s="11" t="n"/>
      <c r="E81" s="11" t="n"/>
      <c r="F81" s="11" t="n"/>
      <c r="G81" s="11" t="n"/>
      <c r="H81" s="11" t="n"/>
      <c r="I81" s="11" t="n"/>
      <c r="J81" s="11" t="n"/>
      <c r="K81" s="11" t="n"/>
      <c r="L81" s="11" t="n"/>
      <c r="M81" s="40" t="n"/>
      <c r="N81" s="11" t="n"/>
    </row>
    <row r="82">
      <c r="A82" s="11" t="n"/>
      <c r="B82" s="11" t="n"/>
      <c r="C82" s="11" t="n"/>
      <c r="D82" s="11" t="n"/>
      <c r="E82" s="11" t="n"/>
      <c r="F82" s="11" t="n"/>
      <c r="G82" s="11" t="n"/>
      <c r="H82" s="11" t="n"/>
      <c r="I82" s="11" t="n"/>
      <c r="J82" s="11" t="n"/>
      <c r="K82" s="11" t="n"/>
      <c r="L82" s="11" t="n"/>
      <c r="M82" s="40" t="n"/>
      <c r="N82" s="11" t="n"/>
    </row>
    <row r="83">
      <c r="A83" s="11" t="n"/>
      <c r="B83" s="11" t="n"/>
      <c r="C83" s="11" t="n"/>
      <c r="D83" s="11" t="n"/>
      <c r="E83" s="11" t="n"/>
      <c r="F83" s="11" t="n"/>
      <c r="G83" s="11" t="n"/>
      <c r="H83" s="11" t="n"/>
      <c r="I83" s="11" t="n"/>
      <c r="J83" s="11" t="n"/>
      <c r="K83" s="11" t="n"/>
      <c r="L83" s="11" t="n"/>
      <c r="M83" s="40" t="n"/>
      <c r="N83" s="11" t="n"/>
    </row>
    <row r="84">
      <c r="A84" s="11" t="n"/>
      <c r="B84" s="11" t="n"/>
      <c r="C84" s="11" t="n"/>
      <c r="D84" s="11" t="n"/>
      <c r="E84" s="11" t="n"/>
      <c r="F84" s="11" t="n"/>
      <c r="G84" s="11" t="n"/>
      <c r="H84" s="11" t="n"/>
      <c r="I84" s="11" t="n"/>
      <c r="J84" s="11" t="n"/>
      <c r="K84" s="11" t="n"/>
      <c r="L84" s="11" t="n"/>
      <c r="M84" s="40" t="n"/>
      <c r="N84" s="11" t="n"/>
    </row>
    <row r="85">
      <c r="A85" s="11" t="n"/>
      <c r="B85" s="11" t="n"/>
      <c r="C85" s="11" t="n"/>
      <c r="D85" s="11" t="n"/>
      <c r="E85" s="11" t="n"/>
      <c r="F85" s="11" t="n"/>
      <c r="G85" s="11" t="n"/>
      <c r="H85" s="11" t="n"/>
      <c r="I85" s="11" t="n"/>
      <c r="J85" s="11" t="n"/>
      <c r="K85" s="11" t="n"/>
      <c r="L85" s="11" t="n"/>
      <c r="M85" s="40" t="n"/>
      <c r="N85" s="11" t="n"/>
    </row>
    <row r="86">
      <c r="A86" s="11" t="n"/>
      <c r="B86" s="11" t="n"/>
      <c r="C86" s="11" t="n"/>
      <c r="D86" s="11" t="n"/>
      <c r="E86" s="11" t="n"/>
      <c r="F86" s="11" t="n"/>
      <c r="G86" s="11" t="n"/>
      <c r="H86" s="11" t="n"/>
      <c r="I86" s="11" t="n"/>
      <c r="J86" s="11" t="n"/>
      <c r="K86" s="11" t="n"/>
      <c r="L86" s="11" t="n"/>
      <c r="M86" s="40" t="n"/>
      <c r="N86" s="11" t="n"/>
    </row>
    <row r="87">
      <c r="A87" s="11" t="n"/>
      <c r="B87" s="11" t="n"/>
      <c r="C87" s="11" t="n"/>
      <c r="D87" s="11" t="n"/>
      <c r="E87" s="11" t="n"/>
      <c r="F87" s="11" t="n"/>
      <c r="G87" s="11" t="n"/>
      <c r="H87" s="11" t="n"/>
      <c r="I87" s="11" t="n"/>
      <c r="J87" s="11" t="n"/>
      <c r="K87" s="11" t="n"/>
      <c r="L87" s="11" t="n"/>
      <c r="M87" s="40" t="n"/>
      <c r="N87" s="11" t="n"/>
    </row>
    <row r="88">
      <c r="A88" s="11" t="n"/>
      <c r="B88" s="11" t="n"/>
      <c r="C88" s="11" t="n"/>
      <c r="D88" s="11" t="n"/>
      <c r="E88" s="11" t="n"/>
      <c r="F88" s="11" t="n"/>
      <c r="G88" s="11" t="n"/>
      <c r="H88" s="11" t="n"/>
      <c r="I88" s="11" t="n"/>
      <c r="J88" s="11" t="n"/>
      <c r="K88" s="11" t="n"/>
      <c r="L88" s="11" t="n"/>
      <c r="M88" s="40" t="n"/>
      <c r="N88" s="11" t="n"/>
    </row>
    <row r="89">
      <c r="A89" s="11" t="n"/>
      <c r="B89" s="11" t="n"/>
      <c r="C89" s="11" t="n"/>
      <c r="D89" s="11" t="n"/>
      <c r="E89" s="11" t="n"/>
      <c r="F89" s="11" t="n"/>
      <c r="G89" s="11" t="n"/>
      <c r="H89" s="11" t="n"/>
      <c r="I89" s="11" t="n"/>
      <c r="J89" s="11" t="n"/>
      <c r="K89" s="11" t="n"/>
      <c r="L89" s="11" t="n"/>
      <c r="M89" s="40" t="n"/>
      <c r="N89" s="11" t="n"/>
    </row>
    <row r="90">
      <c r="A90" s="11" t="n"/>
      <c r="B90" s="11" t="n"/>
      <c r="C90" s="11" t="n"/>
      <c r="D90" s="11" t="n"/>
      <c r="E90" s="11" t="n"/>
      <c r="F90" s="11" t="n"/>
      <c r="G90" s="11" t="n"/>
      <c r="H90" s="11" t="n"/>
      <c r="I90" s="11" t="n"/>
      <c r="J90" s="11" t="n"/>
      <c r="K90" s="11" t="n"/>
      <c r="L90" s="11" t="n"/>
      <c r="M90" s="40" t="n"/>
      <c r="N90" s="11" t="n"/>
    </row>
    <row r="91">
      <c r="A91" s="11" t="n"/>
      <c r="B91" s="11" t="n"/>
      <c r="C91" s="11" t="n"/>
      <c r="D91" s="11" t="n"/>
      <c r="E91" s="11" t="n"/>
      <c r="F91" s="11" t="n"/>
      <c r="G91" s="11" t="n"/>
      <c r="H91" s="11" t="n"/>
      <c r="I91" s="11" t="n"/>
      <c r="J91" s="11" t="n"/>
      <c r="K91" s="11" t="n"/>
      <c r="L91" s="11" t="n"/>
      <c r="M91" s="40" t="n"/>
      <c r="N91" s="11" t="n"/>
    </row>
    <row r="92">
      <c r="A92" s="11" t="n"/>
      <c r="B92" s="11" t="n"/>
      <c r="C92" s="11" t="n"/>
      <c r="D92" s="11" t="n"/>
      <c r="E92" s="11" t="n"/>
      <c r="F92" s="11" t="n"/>
      <c r="G92" s="11" t="n"/>
      <c r="H92" s="11" t="n"/>
      <c r="I92" s="11" t="n"/>
      <c r="J92" s="11" t="n"/>
      <c r="K92" s="11" t="n"/>
      <c r="L92" s="11" t="n"/>
      <c r="M92" s="40" t="n"/>
      <c r="N92" s="11" t="n"/>
    </row>
    <row r="93">
      <c r="A93" s="11" t="n"/>
      <c r="B93" s="11" t="n"/>
      <c r="C93" s="11" t="n"/>
      <c r="D93" s="11" t="n"/>
      <c r="E93" s="11" t="n"/>
      <c r="F93" s="11" t="n"/>
      <c r="G93" s="11" t="n"/>
      <c r="H93" s="11" t="n"/>
      <c r="I93" s="11" t="n"/>
      <c r="J93" s="11" t="n"/>
      <c r="K93" s="11" t="n"/>
      <c r="L93" s="11" t="n"/>
      <c r="M93" s="40" t="n"/>
      <c r="N93" s="11" t="n"/>
    </row>
    <row r="94">
      <c r="A94" s="11" t="n"/>
      <c r="B94" s="11" t="n"/>
      <c r="C94" s="11" t="n"/>
      <c r="D94" s="11" t="n"/>
      <c r="E94" s="11" t="n"/>
      <c r="F94" s="11" t="n"/>
      <c r="G94" s="11" t="n"/>
      <c r="H94" s="11" t="n"/>
      <c r="I94" s="11" t="n"/>
      <c r="J94" s="11" t="n"/>
      <c r="K94" s="11" t="n"/>
      <c r="L94" s="11" t="n"/>
      <c r="M94" s="40" t="n"/>
      <c r="N94" s="11" t="n"/>
    </row>
    <row r="95">
      <c r="A95" s="11" t="n"/>
      <c r="B95" s="11" t="n"/>
      <c r="C95" s="11" t="n"/>
      <c r="D95" s="11" t="n"/>
      <c r="E95" s="11" t="n"/>
      <c r="F95" s="11" t="n"/>
      <c r="G95" s="11" t="n"/>
      <c r="H95" s="11" t="n"/>
      <c r="I95" s="11" t="n"/>
      <c r="J95" s="11" t="n"/>
      <c r="K95" s="11" t="n"/>
      <c r="L95" s="11" t="n"/>
      <c r="M95" s="40" t="n"/>
      <c r="N95" s="11" t="n"/>
    </row>
    <row r="96">
      <c r="A96" s="11" t="n"/>
      <c r="B96" s="11" t="n"/>
      <c r="C96" s="11" t="n"/>
      <c r="D96" s="11" t="n"/>
      <c r="E96" s="11" t="n"/>
      <c r="F96" s="11" t="n"/>
      <c r="G96" s="11" t="n"/>
      <c r="H96" s="11" t="n"/>
      <c r="I96" s="11" t="n"/>
      <c r="J96" s="11" t="n"/>
      <c r="K96" s="11" t="n"/>
      <c r="L96" s="11" t="n"/>
      <c r="M96" s="40" t="n"/>
      <c r="N96" s="11" t="n"/>
    </row>
    <row r="97">
      <c r="A97" s="11" t="n"/>
      <c r="B97" s="11" t="n"/>
      <c r="C97" s="11" t="n"/>
      <c r="D97" s="11" t="n"/>
      <c r="E97" s="11" t="n"/>
      <c r="F97" s="11" t="n"/>
      <c r="G97" s="11" t="n"/>
      <c r="H97" s="11" t="n"/>
      <c r="I97" s="11" t="n"/>
      <c r="J97" s="11" t="n"/>
      <c r="K97" s="11" t="n"/>
      <c r="L97" s="11" t="n"/>
      <c r="M97" s="40" t="n"/>
      <c r="N97" s="11" t="n"/>
    </row>
    <row r="98">
      <c r="A98" s="11" t="n"/>
      <c r="B98" s="11" t="n"/>
      <c r="C98" s="11" t="n"/>
      <c r="D98" s="11" t="n"/>
      <c r="E98" s="11" t="n"/>
      <c r="F98" s="11" t="n"/>
      <c r="G98" s="11" t="n"/>
      <c r="H98" s="11" t="n"/>
      <c r="I98" s="11" t="n"/>
      <c r="J98" s="11" t="n"/>
      <c r="K98" s="11" t="n"/>
      <c r="L98" s="11" t="n"/>
      <c r="M98" s="40" t="n"/>
      <c r="N98" s="11" t="n"/>
    </row>
    <row r="99">
      <c r="A99" s="11" t="n"/>
      <c r="B99" s="11" t="n"/>
      <c r="C99" s="11" t="n"/>
      <c r="D99" s="11" t="n"/>
      <c r="E99" s="11" t="n"/>
      <c r="F99" s="11" t="n"/>
      <c r="G99" s="11" t="n"/>
      <c r="H99" s="11" t="n"/>
      <c r="I99" s="11" t="n"/>
      <c r="J99" s="11" t="n"/>
      <c r="K99" s="11" t="n"/>
      <c r="L99" s="11" t="n"/>
      <c r="M99" s="40" t="n"/>
      <c r="N99" s="11" t="n"/>
    </row>
    <row r="100">
      <c r="A100" s="11" t="n"/>
      <c r="B100" s="11" t="n"/>
      <c r="C100" s="11" t="n"/>
      <c r="D100" s="11" t="n"/>
      <c r="E100" s="11" t="n"/>
      <c r="F100" s="11" t="n"/>
      <c r="G100" s="11" t="n"/>
      <c r="H100" s="11" t="n"/>
      <c r="I100" s="11" t="n"/>
      <c r="J100" s="11" t="n"/>
      <c r="K100" s="11" t="n"/>
      <c r="L100" s="11" t="n"/>
      <c r="M100" s="40" t="n"/>
      <c r="N100" s="11" t="n"/>
    </row>
    <row r="101">
      <c r="A101" s="11" t="n"/>
      <c r="B101" s="11" t="n"/>
      <c r="C101" s="11" t="n"/>
      <c r="D101" s="11" t="n"/>
      <c r="E101" s="11" t="n"/>
      <c r="F101" s="11" t="n"/>
      <c r="G101" s="11" t="n"/>
      <c r="H101" s="11" t="n"/>
      <c r="I101" s="11" t="n"/>
      <c r="J101" s="11" t="n"/>
      <c r="K101" s="11" t="n"/>
      <c r="L101" s="11" t="n"/>
      <c r="M101" s="40" t="n"/>
      <c r="N101" s="11" t="n"/>
    </row>
    <row r="102">
      <c r="A102" s="11" t="n"/>
      <c r="B102" s="11" t="n"/>
      <c r="C102" s="11" t="n"/>
      <c r="D102" s="11" t="n"/>
      <c r="E102" s="11" t="n"/>
      <c r="F102" s="11" t="n"/>
      <c r="G102" s="11" t="n"/>
      <c r="H102" s="11" t="n"/>
      <c r="I102" s="11" t="n"/>
      <c r="J102" s="11" t="n"/>
      <c r="K102" s="11" t="n"/>
      <c r="L102" s="11" t="n"/>
      <c r="M102" s="40" t="n"/>
      <c r="N102" s="11" t="n"/>
    </row>
    <row r="103">
      <c r="A103" s="11" t="n"/>
      <c r="B103" s="11" t="n"/>
      <c r="C103" s="11" t="n"/>
      <c r="D103" s="11" t="n"/>
      <c r="E103" s="11" t="n"/>
      <c r="F103" s="11" t="n"/>
      <c r="G103" s="11" t="n"/>
      <c r="H103" s="11" t="n"/>
      <c r="I103" s="11" t="n"/>
      <c r="J103" s="11" t="n"/>
      <c r="K103" s="11" t="n"/>
      <c r="L103" s="11" t="n"/>
      <c r="M103" s="40" t="n"/>
      <c r="N103" s="11" t="n"/>
    </row>
    <row r="104">
      <c r="A104" s="11" t="n"/>
      <c r="B104" s="11" t="n"/>
      <c r="C104" s="11" t="n"/>
      <c r="D104" s="11" t="n"/>
      <c r="E104" s="11" t="n"/>
      <c r="F104" s="11" t="n"/>
      <c r="G104" s="11" t="n"/>
      <c r="H104" s="11" t="n"/>
      <c r="I104" s="11" t="n"/>
      <c r="J104" s="11" t="n"/>
      <c r="K104" s="11" t="n"/>
      <c r="L104" s="11" t="n"/>
      <c r="M104" s="40" t="n"/>
      <c r="N104" s="11" t="n"/>
    </row>
  </sheetData>
  <mergeCells count="8">
    <mergeCell ref="Q40:R40"/>
    <mergeCell ref="A3:N3"/>
    <mergeCell ref="Q12:R12"/>
    <mergeCell ref="A2:N2"/>
    <mergeCell ref="Q22:R22"/>
    <mergeCell ref="Q26:R26"/>
    <mergeCell ref="Q4:R4"/>
    <mergeCell ref="A1:N1"/>
  </mergeCells>
  <dataValidations count="4">
    <dataValidation sqref="E5:E104" showDropDown="0" showInputMessage="0" showErrorMessage="0" allowBlank="1" type="list">
      <formula1>"Bloqueante,Crítica,Mayor,Menor,Trivial"</formula1>
    </dataValidation>
    <dataValidation sqref="F5:F104" showDropDown="0" showInputMessage="0" showErrorMessage="0" allowBlank="1" type="list">
      <formula1>"Alta,Media,Baja"</formula1>
    </dataValidation>
    <dataValidation sqref="G5:G104" showDropDown="0" showInputMessage="0" showErrorMessage="0" allowBlank="1" type="list">
      <formula1>"Nuevo,Confirmado,No reproducible,En corrección,Corregido,Verificado,Diferido,Rechazado"</formula1>
    </dataValidation>
    <dataValidation sqref="J5:J104" showDropDown="0" showInputMessage="0" showErrorMessage="0" allowBlank="1" type="list">
      <formula1>"Siempre,Intermitente"</formula1>
    </dataValidation>
  </dataValidation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5"/>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CP-001</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135"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Las 4 direcciones responden. Corrida 1: ← mueve a la izquierda, ↑ gira hacia arriba en la primera intersección libre, → gira a la derecha. Corrida 2: → desde la posición inicial y ↓ gira hacia abajo en la primera intersección libre. ↓ se verificó en una corrida aparte porque en la secuencia ←↑→↓ un fantasma intercepta a Pacman antes de la intersección (comportamiento esperado, no es defecto). La partida inicia directamente en modo Pacman, sin pantalla de selección.</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Desde el cruce (4,6), ↓ → ↑ ← desplazaron a Pacman hacia abajo, derecha, arriba e izquierda respectivamente.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Movimiento de Pacman con las flechas</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Secuencia invertida: ↓ → ↑ ← (la V1 usó ← ↑ → ↓).</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Presionar ←.</t>
        </is>
      </c>
      <c r="C21" s="24" t="n"/>
      <c r="D21" s="7" t="inlineStr">
        <is>
          <t>Pacman se desplaza hacia la izquierda.</t>
        </is>
      </c>
      <c r="E21" s="24" t="n"/>
    </row>
    <row r="22" ht="16.2" customHeight="1">
      <c r="A22" s="8" t="n">
        <v>2</v>
      </c>
      <c r="B22" s="7" t="inlineStr">
        <is>
          <t>Presionar ↑.</t>
        </is>
      </c>
      <c r="C22" s="24" t="n"/>
      <c r="D22" s="7" t="inlineStr">
        <is>
          <t>Pacman se desplaza hacia arriba.</t>
        </is>
      </c>
      <c r="E22" s="24" t="n"/>
    </row>
    <row r="23" ht="16.2" customHeight="1">
      <c r="A23" s="8" t="n">
        <v>3</v>
      </c>
      <c r="B23" s="7" t="inlineStr">
        <is>
          <t>Presionar →.</t>
        </is>
      </c>
      <c r="C23" s="24" t="n"/>
      <c r="D23" s="7" t="inlineStr">
        <is>
          <t>Pacman se desplaza hacia la derecha.</t>
        </is>
      </c>
      <c r="E23" s="24" t="n"/>
    </row>
    <row r="24" ht="29.4" customHeight="1">
      <c r="A24" s="8" t="n">
        <v>4</v>
      </c>
      <c r="B24" s="7" t="inlineStr">
        <is>
          <t>Presionar ↓.</t>
        </is>
      </c>
      <c r="C24" s="24" t="n"/>
      <c r="D24" s="18" t="inlineStr">
        <is>
          <t>Pacman se desplaza en la dirección de cada tecla presionada, siempre que el camino esté libre.</t>
        </is>
      </c>
      <c r="E24" s="24" t="n"/>
    </row>
    <row r="25" ht="24" customHeight="1">
      <c r="A25" s="21" t="inlineStr">
        <is>
          <t>El caso se aprueba solo si se cumple todo el resultado esperado del último paso (en negrita); si cualquier parte no se cumple, se registra como Fallido.</t>
        </is>
      </c>
    </row>
  </sheetData>
  <mergeCells count="29">
    <mergeCell ref="D20:E20"/>
    <mergeCell ref="B7:C7"/>
    <mergeCell ref="D1:E1"/>
    <mergeCell ref="B12:E13"/>
    <mergeCell ref="B22:C22"/>
    <mergeCell ref="D22:E22"/>
    <mergeCell ref="D21:E21"/>
    <mergeCell ref="B21:C21"/>
    <mergeCell ref="D2:E2"/>
    <mergeCell ref="A12:A13"/>
    <mergeCell ref="A25:E25"/>
    <mergeCell ref="B23:C23"/>
    <mergeCell ref="B8:C8"/>
    <mergeCell ref="A3:B3"/>
    <mergeCell ref="G1:L1"/>
    <mergeCell ref="D16:E16"/>
    <mergeCell ref="B18:E18"/>
    <mergeCell ref="D7:E7"/>
    <mergeCell ref="B10:C10"/>
    <mergeCell ref="D4:E4"/>
    <mergeCell ref="B9:C9"/>
    <mergeCell ref="D3:E3"/>
    <mergeCell ref="G6:L7"/>
    <mergeCell ref="B24:C24"/>
    <mergeCell ref="D24:E24"/>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25"/>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CP-002</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95.3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Las 4 teclas responden igual que las flechas. Corrida 1: A izquierda, W arriba, D derecha (mismas trayectorias y tiempos que ←↑→ en CP-001). Corrida 2: D desde la posición inicial y S gira hacia abajo en la primera intersección libre (idéntica a →↓). S se verificó aparte por la intercepción del fantasma.</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S D W A produjeron el mismo desplazamiento que ↓ → ↑ ← (abajo, derecha, arriba, izquierda).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Movimiento de Pacman con WASD</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Secuencia invertida: S D W A.</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Presionar A.</t>
        </is>
      </c>
      <c r="C21" s="24" t="n"/>
      <c r="D21" s="7" t="inlineStr">
        <is>
          <t>Pacman se desplaza hacia la izquierda, igual que con ←.</t>
        </is>
      </c>
      <c r="E21" s="24" t="n"/>
    </row>
    <row r="22" ht="16.2" customHeight="1">
      <c r="A22" s="8" t="n">
        <v>2</v>
      </c>
      <c r="B22" s="7" t="inlineStr">
        <is>
          <t>Presionar W.</t>
        </is>
      </c>
      <c r="C22" s="24" t="n"/>
      <c r="D22" s="7" t="inlineStr">
        <is>
          <t>Pacman se desplaza hacia arriba, igual que con ↑.</t>
        </is>
      </c>
      <c r="E22" s="24" t="n"/>
    </row>
    <row r="23" ht="29.4" customHeight="1">
      <c r="A23" s="8" t="n">
        <v>3</v>
      </c>
      <c r="B23" s="7" t="inlineStr">
        <is>
          <t>Presionar D.</t>
        </is>
      </c>
      <c r="C23" s="24" t="n"/>
      <c r="D23" s="7" t="inlineStr">
        <is>
          <t>Pacman se desplaza hacia la derecha, igual que con →.</t>
        </is>
      </c>
      <c r="E23" s="24" t="n"/>
    </row>
    <row r="24" ht="29.4" customHeight="1">
      <c r="A24" s="8" t="n">
        <v>4</v>
      </c>
      <c r="B24" s="7" t="inlineStr">
        <is>
          <t>Presionar S.</t>
        </is>
      </c>
      <c r="C24" s="24" t="n"/>
      <c r="D24" s="18" t="inlineStr">
        <is>
          <t>Cada tecla produce el mismo desplazamiento que ←, ↑, → y ↓ respectivamente.</t>
        </is>
      </c>
      <c r="E24" s="24" t="n"/>
    </row>
    <row r="25" ht="24" customHeight="1">
      <c r="A25" s="21" t="inlineStr">
        <is>
          <t>El caso se aprueba solo si se cumple todo el resultado esperado del último paso (en negrita); si cualquier parte no se cumple, se registra como Fallido.</t>
        </is>
      </c>
    </row>
  </sheetData>
  <mergeCells count="29">
    <mergeCell ref="D20:E20"/>
    <mergeCell ref="B7:C7"/>
    <mergeCell ref="D1:E1"/>
    <mergeCell ref="B12:E13"/>
    <mergeCell ref="B22:C22"/>
    <mergeCell ref="D22:E22"/>
    <mergeCell ref="D21:E21"/>
    <mergeCell ref="B21:C21"/>
    <mergeCell ref="D2:E2"/>
    <mergeCell ref="A12:A13"/>
    <mergeCell ref="A25:E25"/>
    <mergeCell ref="B23:C23"/>
    <mergeCell ref="B8:C8"/>
    <mergeCell ref="A3:B3"/>
    <mergeCell ref="G1:L1"/>
    <mergeCell ref="D16:E16"/>
    <mergeCell ref="B18:E18"/>
    <mergeCell ref="D7:E7"/>
    <mergeCell ref="B10:C10"/>
    <mergeCell ref="D4:E4"/>
    <mergeCell ref="B9:C9"/>
    <mergeCell ref="D3:E3"/>
    <mergeCell ref="G6:L7"/>
    <mergeCell ref="B24:C24"/>
    <mergeCell ref="D24:E24"/>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CP-003</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Avance continuo verificado en el registro de posición cuadro a cuadro. A los 3,0 s un fantasma alcanzó a Pacman, que ya estaba detenido contra el muro; no afecta al resultado.</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Tras un toque de ↓ en (10,6), Pacman siguió bajando sin mantener la tecla hasta el muro inferior (fila 13) y se detuvo ahí.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Pacman en un corredor libre.</t>
        </is>
      </c>
      <c r="C10" s="24" t="n"/>
      <c r="D10" s="18" t="inlineStr">
        <is>
          <t>Modo de juego:</t>
        </is>
      </c>
      <c r="E10" s="7" t="inlineStr">
        <is>
          <t>Pacman</t>
        </is>
      </c>
    </row>
    <row r="12">
      <c r="A12" s="13" t="inlineStr">
        <is>
          <t>Título del CP</t>
        </is>
      </c>
      <c r="B12" s="34" t="inlineStr">
        <is>
          <t>Avance continuo sin mantener la tecla</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Se usa la dirección ↓ desde una celda distinta a la de la V1 (fila 10).</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Presionar y liberar de inmediato la tecla de una dirección libre.</t>
        </is>
      </c>
      <c r="C21" s="24" t="n"/>
      <c r="D21" s="7" t="inlineStr">
        <is>
          <t>Pacman comienza a avanzar en la dirección indicada.</t>
        </is>
      </c>
      <c r="E21" s="24" t="n"/>
    </row>
    <row r="22" ht="29.4" customHeight="1">
      <c r="A22" s="8" t="n">
        <v>2</v>
      </c>
      <c r="B22" s="7" t="inlineStr">
        <is>
          <t>Observar durante 3 segundos sin tocar el teclado.</t>
        </is>
      </c>
      <c r="C22" s="24" t="n"/>
      <c r="D22" s="18" t="inlineStr">
        <is>
          <t>Pacman sigue avanzando en esa dirección durante los 3 segundos, hasta encontrar un muro.</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CP-004</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tecla se presionó a unas 4,5 celdas de la intersección, no a 3 como indica el prerrequisito; el comportamiento verificado es el mismo (giro postergado sin frenar).</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Avanzando a la derecha por la fila 4 desde (4,3), ↑ presionado 3 celdas antes de la intersección: Pacman siguió en horizontal sin detenerse y giró hacia arriba al llegar a la columna 6.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42.59999999999999" customHeight="1">
      <c r="A10" s="8" t="n">
        <v>3</v>
      </c>
      <c r="B10" s="7" t="inlineStr">
        <is>
          <t>Partida en curso (N1), Pacman avanzando por un corredor horizontal con una intersección hacia arriba a 3 celdas de distancia.</t>
        </is>
      </c>
      <c r="C10" s="24" t="n"/>
      <c r="D10" s="18" t="inlineStr">
        <is>
          <t>Modo de juego:</t>
        </is>
      </c>
      <c r="E10" s="7" t="inlineStr">
        <is>
          <t>Pacman</t>
        </is>
      </c>
    </row>
    <row r="12">
      <c r="A12" s="13" t="inlineStr">
        <is>
          <t>Título del CP</t>
        </is>
      </c>
      <c r="B12" s="34" t="inlineStr">
        <is>
          <t>Giro postergado hasta la primera celda posible</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42.59999999999999" customHeight="1">
      <c r="A19" s="8" t="n">
        <v>1</v>
      </c>
      <c r="B19" s="7" t="inlineStr">
        <is>
          <t>Con Pacman en movimiento horizontal, presionar ↑ antes de llegar a la intersección.</t>
        </is>
      </c>
      <c r="C19" s="24" t="n"/>
      <c r="D19" s="18" t="inlineStr">
        <is>
          <t>Pacman continúa avanzando en horizontal y gira hacia arriba al llegar a la intersección, sin detenerse en el trayecto.</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CP-005</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No se detuvo ni quedó trabado. El giro posterior en (7,15) corresponde al giro postergado (CP-004).</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Avanzando a la derecha por la fila 10 con muro debajo (11,2), ↓ no lo detuvo: siguió hacia la derecha (posición 2.68).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Pacman avanzando por un corredor horizontal con muros arriba y abajo.</t>
        </is>
      </c>
      <c r="C10" s="24" t="n"/>
      <c r="D10" s="18" t="inlineStr">
        <is>
          <t>Modo de juego:</t>
        </is>
      </c>
      <c r="E10" s="7" t="inlineStr">
        <is>
          <t>Pacman</t>
        </is>
      </c>
    </row>
    <row r="12">
      <c r="A12" s="13" t="inlineStr">
        <is>
          <t>Título del CP</t>
        </is>
      </c>
      <c r="B12" s="34" t="inlineStr">
        <is>
          <t>Dirección bloqueada por un muro</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Se ejecuta en la fila 10 con ↓ bloqueado, en lugar de ↑.</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Presionar ↑ con el muro inmediatamente arriba.</t>
        </is>
      </c>
      <c r="C21" s="24" t="n"/>
      <c r="D21" s="18" t="inlineStr">
        <is>
          <t>Pacman mantiene su dirección horizontal de avance. No se detiene ni queda trabado.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CP-006</t>
        </is>
      </c>
      <c r="C1" s="13" t="inlineStr">
        <is>
          <t>Descripción / Funcionalidad</t>
        </is>
      </c>
      <c r="D1" s="18" t="inlineStr">
        <is>
          <t>HU-01 · Mover a Pacman por el mapa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Inversión inmediata, sin llegar a una intersección.</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A mitad del corredor de la fila 7 (posición 3.33, sin intersección), ← invirtió la marcha de inmediato: dirección «left», posición 3.33 → 1.92.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Pacman avanzando hacia la derecha en un corredor.</t>
        </is>
      </c>
      <c r="C10" s="24" t="n"/>
      <c r="D10" s="18" t="inlineStr">
        <is>
          <t>Modo de juego:</t>
        </is>
      </c>
      <c r="E10" s="7" t="inlineStr">
        <is>
          <t>Pacman</t>
        </is>
      </c>
    </row>
    <row r="12">
      <c r="A12" s="13" t="inlineStr">
        <is>
          <t>Título del CP</t>
        </is>
      </c>
      <c r="B12" s="34" t="inlineStr">
        <is>
          <t>Inversión de marcha a mitad de corredor</t>
        </is>
      </c>
      <c r="C12" s="43" t="n"/>
      <c r="D12" s="43" t="n"/>
      <c r="E12" s="44" t="n"/>
    </row>
    <row r="13">
      <c r="A13" s="45" t="n"/>
      <c r="B13" s="46" t="n"/>
      <c r="C13" s="47" t="n"/>
      <c r="D13" s="47" t="n"/>
      <c r="E13" s="48" t="n"/>
    </row>
    <row r="15">
      <c r="A15" s="13" t="inlineStr">
        <is>
          <t>Historias de Usuario</t>
        </is>
      </c>
      <c r="B15" s="7" t="inlineStr">
        <is>
          <t>HU-01</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Presionar ← a mitad del corredor.</t>
        </is>
      </c>
      <c r="C19" s="24" t="n"/>
      <c r="D19" s="18" t="inlineStr">
        <is>
          <t>Pacman invierte su marcha de inmediato, sin necesidad de llegar a una intersección.</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CP-007</t>
        </is>
      </c>
      <c r="C1" s="13" t="inlineStr">
        <is>
          <t>Descripción / Funcionalidad</t>
        </is>
      </c>
      <c r="D1" s="18" t="inlineStr">
        <is>
          <t>HU-02 · Impedir el paso a través de los muros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tecla sostenida se simuló con pulsaciones repetidas (39 en 5 s). Durante la prueba los fantasmas alcanzaron dos veces a Pacman, que reapareció en la misma celda junto al muro; la verificación continuó sin cambios.</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 mantenida 5 s contra el muro izquierdo, Pacman se detuvo en (7,1) sin superponerse; luego ↑ lo movió con normalidad (fila 5).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Pacman no atraviesa los muros</t>
        </is>
      </c>
      <c r="C12" s="43" t="n"/>
      <c r="D12" s="43" t="n"/>
      <c r="E12" s="44" t="n"/>
    </row>
    <row r="13">
      <c r="A13" s="45" t="n"/>
      <c r="B13" s="46" t="n"/>
      <c r="C13" s="47" t="n"/>
      <c r="D13" s="47" t="n"/>
      <c r="E13" s="48" t="n"/>
    </row>
    <row r="15">
      <c r="A15" s="13" t="inlineStr">
        <is>
          <t>Historias de Usuario</t>
        </is>
      </c>
      <c r="B15" s="7" t="inlineStr">
        <is>
          <t>HU-02</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Contra un muro a la izquierda (en la V1, a la derecha).</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Dirigir a Pacman contra un muro.</t>
        </is>
      </c>
      <c r="C21" s="24" t="n"/>
      <c r="D21" s="7" t="inlineStr">
        <is>
          <t>Pacman avanza hasta quedar junto al muro.</t>
        </is>
      </c>
      <c r="E21" s="24" t="n"/>
    </row>
    <row r="22" ht="42.59999999999999" customHeight="1">
      <c r="A22" s="8" t="n">
        <v>2</v>
      </c>
      <c r="B22" s="7" t="inlineStr">
        <is>
          <t>Mantener presionada la tecla de esa dirección durante 5 segundos.</t>
        </is>
      </c>
      <c r="C22" s="24" t="n"/>
      <c r="D22" s="18" t="inlineStr">
        <is>
          <t>Pacman se detiene contra el muro, no lo atraviesa, no queda superpuesto al muro y no queda encajado: al indicar otra dirección válida se mueve con normalidad.</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CP-008</t>
        </is>
      </c>
      <c r="C1" s="13" t="inlineStr">
        <is>
          <t>Descripción / Funcionalidad</t>
        </is>
      </c>
      <c r="D1" s="18" t="inlineStr">
        <is>
          <t>HU-02 · Impedir el paso a través de los muros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Se usaron las esquinas porque las rutas por las columnas centrales son interceptadas por los fantasmas. Al llegar a las esquinas Pacman comió la esfera grande y se activó el PowerUp; no afecta la verificación de límites.</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En los bordes abajo (13,8), derecha (7,15), arriba (1,8) e izquierda (7,1), con la tecla hacia afuera, Pacman no salió del mapa y quedó visible.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Pacman no sale de los límites del mapa</t>
        </is>
      </c>
      <c r="C12" s="43" t="n"/>
      <c r="D12" s="43" t="n"/>
      <c r="E12" s="44" t="n"/>
    </row>
    <row r="13">
      <c r="A13" s="45" t="n"/>
      <c r="B13" s="46" t="n"/>
      <c r="C13" s="47" t="n"/>
      <c r="D13" s="47" t="n"/>
      <c r="E13" s="48" t="n"/>
    </row>
    <row r="15">
      <c r="A15" s="13" t="inlineStr">
        <is>
          <t>Historias de Usuario</t>
        </is>
      </c>
      <c r="B15" s="7" t="inlineStr">
        <is>
          <t>HU-02</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Bordes recorridos en otro orden: abajo, derecha, arriba, izquierda.</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Llevar a Pacman al borde del mapa por cada uno de los cuatro lados.</t>
        </is>
      </c>
      <c r="C21" s="24" t="n"/>
      <c r="D21" s="7" t="inlineStr">
        <is>
          <t>Pacman llega al borde del mapa en cada lado.</t>
        </is>
      </c>
      <c r="E21" s="24" t="n"/>
    </row>
    <row r="22" ht="29.4" customHeight="1">
      <c r="A22" s="8" t="n">
        <v>2</v>
      </c>
      <c r="B22" s="7" t="inlineStr">
        <is>
          <t>Presionar la tecla que apunta hacia afuera del mapa.</t>
        </is>
      </c>
      <c r="C22" s="24" t="n"/>
      <c r="D22" s="18" t="inlineStr">
        <is>
          <t>Pacman no sale del mapa por ninguno de los cuatro lados y permanece visible en pantalla.</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CP-009</t>
        </is>
      </c>
      <c r="C1" s="13" t="inlineStr">
        <is>
          <t>Descripción / Funcionalidad</t>
        </is>
      </c>
      <c r="D1" s="18" t="inlineStr">
        <is>
          <t>HU-02 · Impedir el paso a través de los muros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 xml:space="preserve">Aprobado. Pacman quieto: murió 24 veces y la partida se reinició 8 veces para mantener a los fantasmas en movimiento los 60 s. Los fantasmas recorrieron 13 celdas cada uno. </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 2 durante 60 s: ningún fantasma clásico entró a un muro ni salió del mapa (tipos observados: ['classic']). (Vidas repuestas por script para que la partida no termine.)</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Los fantasmas clásicos no atraviesan muros</t>
        </is>
      </c>
      <c r="C12" s="43" t="n"/>
      <c r="D12" s="43" t="n"/>
      <c r="E12" s="44" t="n"/>
    </row>
    <row r="13">
      <c r="A13" s="45" t="n"/>
      <c r="B13" s="46" t="n"/>
      <c r="C13" s="47" t="n"/>
      <c r="D13" s="47" t="n"/>
      <c r="E13" s="48" t="n"/>
    </row>
    <row r="15">
      <c r="A15" s="13" t="inlineStr">
        <is>
          <t>Historias de Usuario</t>
        </is>
      </c>
      <c r="B15" s="7" t="inlineStr">
        <is>
          <t>HU-02</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Observación en el nivel 2 en lugar del 1 (solo clásicos al inicio), 60 s.</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Observar el desplazamiento de los cuatro fantasmas durante 60 segundos.</t>
        </is>
      </c>
      <c r="C21" s="24" t="n"/>
      <c r="D21" s="18" t="inlineStr">
        <is>
          <t>Ningún fantasma atraviesa un muro ni sale de los límites del mapa en ningún momento.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CP-010</t>
        </is>
      </c>
      <c r="C1" s="13" t="inlineStr">
        <is>
          <t>Descripción / Funcionalidad</t>
        </is>
      </c>
      <c r="D1" s="18" t="inlineStr">
        <is>
          <t>HU-02 · Impedir el paso a través de los muros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Recorrido parcial con Pacman, complementado con la comparación completa entre dibujo y lógica. Los 107 caminos coinciden con lo dibujado. Única celda transitable sin punto: la de inicio de Pacman (7,8); se asume por diseño, a confirmar con el equipo.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1: 107 celdas transitables, todas alcanzables desde la posición de Pacman; 106 marcadas con esfera y la única sin marca es la celda inicial de Pacman (7,8), que ocupa él mismo. Ningún muro tiene esfera. (Recorrido verificado sobre el mapa del juego.)</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Zona transitable coincidente con el mapa dibujado</t>
        </is>
      </c>
      <c r="C12" s="43" t="n"/>
      <c r="D12" s="43" t="n"/>
      <c r="E12" s="44" t="n"/>
    </row>
    <row r="13">
      <c r="A13" s="45" t="n"/>
      <c r="B13" s="46" t="n"/>
      <c r="C13" s="47" t="n"/>
      <c r="D13" s="47" t="n"/>
      <c r="E13" s="48" t="n"/>
    </row>
    <row r="15">
      <c r="A15" s="13" t="inlineStr">
        <is>
          <t>Historias de Usuario</t>
        </is>
      </c>
      <c r="B15" s="7" t="inlineStr">
        <is>
          <t>HU-02</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42.59999999999999" customHeight="1">
      <c r="A19" s="8" t="n">
        <v>1</v>
      </c>
      <c r="B19" s="7" t="inlineStr">
        <is>
          <t>Recorrer con Pacman los caminos marcados con puntos blancos.</t>
        </is>
      </c>
      <c r="C19" s="24" t="n"/>
      <c r="D19" s="18" t="inlineStr">
        <is>
          <t>Todos los caminos marcados son transitables, y no existe ninguna celda transitable que no esté marcada como camino.</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CP-011</t>
        </is>
      </c>
      <c r="C1" s="13" t="inlineStr">
        <is>
          <t>Descripción / Funcionalidad</t>
        </is>
      </c>
      <c r="D1" s="18" t="inlineStr">
        <is>
          <t>HU-03 · Consumir las esferas del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Esfera de (4,3): desapareció; puntaje 0 → 10 (+10); esferas restantes 105 → 104.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puntaje 0.</t>
        </is>
      </c>
      <c r="C10" s="24" t="n"/>
      <c r="D10" s="18" t="inlineStr">
        <is>
          <t>Modo de juego:</t>
        </is>
      </c>
      <c r="E10" s="7" t="inlineStr">
        <is>
          <t>Pacman</t>
        </is>
      </c>
    </row>
    <row r="12">
      <c r="A12" s="13" t="inlineStr">
        <is>
          <t>Título del CP</t>
        </is>
      </c>
      <c r="B12" s="34" t="inlineStr">
        <is>
          <t>Consumo de una esfera común</t>
        </is>
      </c>
      <c r="C12" s="43" t="n"/>
      <c r="D12" s="43" t="n"/>
      <c r="E12" s="44" t="n"/>
    </row>
    <row r="13">
      <c r="A13" s="45" t="n"/>
      <c r="B13" s="46" t="n"/>
      <c r="C13" s="47" t="n"/>
      <c r="D13" s="47" t="n"/>
      <c r="E13" s="48" t="n"/>
    </row>
    <row r="15">
      <c r="A15" s="13" t="inlineStr">
        <is>
          <t>Historias de Usuario</t>
        </is>
      </c>
      <c r="B15" s="7" t="inlineStr">
        <is>
          <t>HU-03</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Esfera común de otra fila (fila 4).</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Registrar el puntaje y el contador de esferas restantes.</t>
        </is>
      </c>
      <c r="C21" s="24" t="n"/>
      <c r="D21" s="7" t="inlineStr">
        <is>
          <t>Puntaje y contador de esferas anotados como valores de referencia.</t>
        </is>
      </c>
      <c r="E21" s="24" t="n"/>
    </row>
    <row r="22" ht="16.2" customHeight="1">
      <c r="A22" s="8" t="n">
        <v>2</v>
      </c>
      <c r="B22" s="7" t="inlineStr">
        <is>
          <t>Desplazar a Pacman sobre una esfera común.</t>
        </is>
      </c>
      <c r="C22" s="24" t="n"/>
      <c r="D22" s="7" t="inlineStr">
        <is>
          <t>Pacman pasa por la celda de la esfera.</t>
        </is>
      </c>
      <c r="E22" s="24" t="n"/>
    </row>
    <row r="23" ht="42.59999999999999" customHeight="1">
      <c r="A23" s="8" t="n">
        <v>3</v>
      </c>
      <c r="B23" s="7" t="inlineStr">
        <is>
          <t>Registrar ambos valores.</t>
        </is>
      </c>
      <c r="C23" s="24" t="n"/>
      <c r="D23" s="18" t="inlineStr">
        <is>
          <t>La esfera desaparece del mapa, el puntaje aumenta exactamente 10 y el contador de esferas restantes disminuye exactamente 1.</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CP-012</t>
        </is>
      </c>
      <c r="C1" s="13" t="inlineStr">
        <is>
          <t>Descripción / Funcionalidad</t>
        </is>
      </c>
      <c r="D1" s="18" t="inlineStr">
        <is>
          <t>HU-03 · Consumir las esferas del mapa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En la corrida Pacman comió también la esfera grande de (1,1), por lo que la vida se perdió más tarde de lo previsto. La verificación posterior a la pérdida de vidas no se ve afectada.</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Pacman consumió 14 esferas en la fila 10; tras perder una vida (3 → 2) la fila sigue despejada (15 de 15 celdas sin esfera).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Una esfera consumida no reaparece al perder una vida</t>
        </is>
      </c>
      <c r="C12" s="43" t="n"/>
      <c r="D12" s="43" t="n"/>
      <c r="E12" s="44" t="n"/>
    </row>
    <row r="13">
      <c r="A13" s="45" t="n"/>
      <c r="B13" s="46" t="n"/>
      <c r="C13" s="47" t="n"/>
      <c r="D13" s="47" t="n"/>
      <c r="E13" s="48" t="n"/>
    </row>
    <row r="15">
      <c r="A15" s="13" t="inlineStr">
        <is>
          <t>Historias de Usuario</t>
        </is>
      </c>
      <c r="B15" s="7" t="inlineStr">
        <is>
          <t>HU-03</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15 esferas en lugar de 10, en la fila 10.</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al menos 10 esferas y registrar la zona despejada.</t>
        </is>
      </c>
      <c r="C21" s="24" t="n"/>
      <c r="D21" s="7" t="inlineStr">
        <is>
          <t>Contador disminuido en 10 y zona sin esferas identificada.</t>
        </is>
      </c>
      <c r="E21" s="24" t="n"/>
    </row>
    <row r="22" ht="29.4" customHeight="1">
      <c r="A22" s="8" t="n">
        <v>2</v>
      </c>
      <c r="B22" s="7" t="inlineStr">
        <is>
          <t>Dejar que un fantasma alcance a Pacman.</t>
        </is>
      </c>
      <c r="C22" s="24" t="n"/>
      <c r="D22" s="7" t="inlineStr">
        <is>
          <t>Se descuenta una vida y los personajes vuelven a su posición inicial.</t>
        </is>
      </c>
      <c r="E22" s="24" t="n"/>
    </row>
    <row r="23" ht="29.4" customHeight="1">
      <c r="A23" s="8" t="n">
        <v>3</v>
      </c>
      <c r="B23" s="7" t="inlineStr">
        <is>
          <t>Observar la zona despejada al reanudarse el nivel.</t>
        </is>
      </c>
      <c r="C23" s="24" t="n"/>
      <c r="D23" s="18" t="inlineStr">
        <is>
          <t>Las esferas consumidas antes de perder la vida siguen ausentes del mapa.</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CP-013</t>
        </is>
      </c>
      <c r="C1" s="13" t="inlineStr">
        <is>
          <t>Descripción / Funcionalidad</t>
        </is>
      </c>
      <c r="D1" s="18" t="inlineStr">
        <is>
          <t>HU-03 · Consumir las esferas del mapa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Pacman quieto: murió 12 veces y la partida se reinició 4 veces para completar los 30 s. En ningún momento cambió el contador.</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30 s con Pacman quieto: los fantasmas pasaron por 48 celdas distintas; el contador siguió en 106 → 106 y las esferas del mapa no cambiaron. (Pacman detenido y vidas repuestas por script.)</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Los fantasmas no consumen esferas</t>
        </is>
      </c>
      <c r="C12" s="43" t="n"/>
      <c r="D12" s="43" t="n"/>
      <c r="E12" s="44" t="n"/>
    </row>
    <row r="13">
      <c r="A13" s="45" t="n"/>
      <c r="B13" s="46" t="n"/>
      <c r="C13" s="47" t="n"/>
      <c r="D13" s="47" t="n"/>
      <c r="E13" s="48" t="n"/>
    </row>
    <row r="15">
      <c r="A15" s="13" t="inlineStr">
        <is>
          <t>Historias de Usuario</t>
        </is>
      </c>
      <c r="B15" s="7" t="inlineStr">
        <is>
          <t>HU-03</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Registrar el contador de esferas restantes.</t>
        </is>
      </c>
      <c r="C19" s="24" t="n"/>
      <c r="D19" s="7" t="inlineStr">
        <is>
          <t>Valor del contador anotado como referencia.</t>
        </is>
      </c>
      <c r="E19" s="24" t="n"/>
    </row>
    <row r="20" ht="42.59999999999999" customHeight="1">
      <c r="A20" s="8" t="n">
        <v>2</v>
      </c>
      <c r="B20" s="7" t="inlineStr">
        <is>
          <t>Observar durante 30 segundos sin mover a Pacman, mientras los fantasmas recorren el mapa sobre celdas con esferas.</t>
        </is>
      </c>
      <c r="C20" s="24" t="n"/>
      <c r="D20" s="18" t="inlineStr">
        <is>
          <t>El contador de esferas restantes no cambia y las esferas por las que pasaron los fantasmas siguen en el mapa.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CP-014</t>
        </is>
      </c>
      <c r="C1" s="13" t="inlineStr">
        <is>
          <t>Descripción / Funcionalidad</t>
        </is>
      </c>
      <c r="D1" s="18" t="inlineStr">
        <is>
          <t>HU-04 · Completar el nivel al consumir todas las esferas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El puntaje cierra: 1770 + 50 de la esfera grande + 750 de bonus = 2570. El nivel se llevó hasta la última esfera con un piloto automático en la página que envía las teclas de flecha al juego, sin modificar su estado. Se repitió en una segunda corrida con igual resultado.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Al consumir la última esfera (13,5) el nivel se completó, la partida se detuvo y se mostró «¡Nivel 1 completado!» con el puntaje. (Mapa reducido a una esfera por script.)</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con una sola esfera restante en el mapa.</t>
        </is>
      </c>
      <c r="C10" s="24" t="n"/>
      <c r="D10" s="18" t="inlineStr">
        <is>
          <t>Modo de juego:</t>
        </is>
      </c>
      <c r="E10" s="7" t="inlineStr">
        <is>
          <t>Pacman</t>
        </is>
      </c>
    </row>
    <row r="12">
      <c r="A12" s="13" t="inlineStr">
        <is>
          <t>Título del CP</t>
        </is>
      </c>
      <c r="B12" s="34" t="inlineStr">
        <is>
          <t>Finalización del nivel al consumir la última esfera</t>
        </is>
      </c>
      <c r="C12" s="43" t="n"/>
      <c r="D12" s="43" t="n"/>
      <c r="E12" s="44" t="n"/>
    </row>
    <row r="13">
      <c r="A13" s="45" t="n"/>
      <c r="B13" s="46" t="n"/>
      <c r="C13" s="47" t="n"/>
      <c r="D13" s="47" t="n"/>
      <c r="E13" s="48" t="n"/>
    </row>
    <row r="15">
      <c r="A15" s="13" t="inlineStr">
        <is>
          <t>Historias de Usuario</t>
        </is>
      </c>
      <c r="B15" s="7" t="inlineStr">
        <is>
          <t>HU-04</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La última esfera es una de la fila 13.</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la última esfera.</t>
        </is>
      </c>
      <c r="C21" s="24" t="n"/>
      <c r="D21" s="18" t="inlineStr">
        <is>
          <t>El nivel se completa, la partida se detiene y se muestra el resultado del nivel con su puntaje.</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CP-015</t>
        </is>
      </c>
      <c r="C1" s="13" t="inlineStr">
        <is>
          <t>Descripción / Funcionalidad</t>
        </is>
      </c>
      <c r="D1" s="18" t="inlineStr">
        <is>
          <t>HU-04 · Completar el nivel al consumir todas las esferas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Al alcanzar el estado, el PowerUp de una esfera grande anterior seguía activo (terminó 1,9 s después); no afecta al resultado. Mismo resultado en dos corridas. Estado alcanzado con el piloto automático, que tenía prohibido comer esa esfera.</t>
        </is>
      </c>
      <c r="L3" s="11" t="n"/>
    </row>
    <row r="4" ht="42.5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solo la esfera grande de (13,15) sin consumir, el nivel no se completó y quedan 1 esferas; la partida sigue. (Mapa preparado por script.)</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con todas las esferas comunes consumidas y una esfera grande sin consumir.</t>
        </is>
      </c>
      <c r="C10" s="24" t="n"/>
      <c r="D10" s="18" t="inlineStr">
        <is>
          <t>Modo de juego:</t>
        </is>
      </c>
      <c r="E10" s="7" t="inlineStr">
        <is>
          <t>Pacman</t>
        </is>
      </c>
    </row>
    <row r="12">
      <c r="A12" s="13" t="inlineStr">
        <is>
          <t>Título del CP</t>
        </is>
      </c>
      <c r="B12" s="34" t="inlineStr">
        <is>
          <t>El nivel no se completa si queda una esfera grande</t>
        </is>
      </c>
      <c r="C12" s="43" t="n"/>
      <c r="D12" s="43" t="n"/>
      <c r="E12" s="44" t="n"/>
    </row>
    <row r="13">
      <c r="A13" s="45" t="n"/>
      <c r="B13" s="46" t="n"/>
      <c r="C13" s="47" t="n"/>
      <c r="D13" s="47" t="n"/>
      <c r="E13" s="48" t="n"/>
    </row>
    <row r="15">
      <c r="A15" s="13" t="inlineStr">
        <is>
          <t>Historias de Usuario</t>
        </is>
      </c>
      <c r="B15" s="7" t="inlineStr">
        <is>
          <t>HU-04</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La esfera grande pendiente es la de (13,15) en lugar de la de (1,1).</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Observar el estado de la partida.</t>
        </is>
      </c>
      <c r="C21" s="24" t="n"/>
      <c r="D21" s="7" t="inlineStr">
        <is>
          <t>La partida sigue en curso: el nivel no se da por completado.</t>
        </is>
      </c>
      <c r="E21" s="24" t="n"/>
    </row>
    <row r="22" ht="29.4" customHeight="1">
      <c r="A22" s="8" t="n">
        <v>2</v>
      </c>
      <c r="B22" s="7" t="inlineStr">
        <is>
          <t>Verificar el contador de esferas restantes.</t>
        </is>
      </c>
      <c r="C22" s="24" t="n"/>
      <c r="D22" s="18" t="inlineStr">
        <is>
          <t>El nivel no se completa y el contador indica 1 esfera restante. La partida continúa.</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CP-016</t>
        </is>
      </c>
      <c r="C1" s="13" t="inlineStr">
        <is>
          <t>Descripción / Funcionalidad</t>
        </is>
      </c>
      <c r="D1" s="18" t="inlineStr">
        <is>
          <t>HU-04 · Completar el nivel al consumir todas las esferas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vida se perdió a propósito tras CP-015 para cumplir el prerrequisito de 2 vidas. Observación para E4: en el nivel 2 los fantasmas arrancan en celdas contiguas a Pacman ((7,7), (7,9), (8,6), (8,10)) y los cuatro figuran como clásicos; revisar en CP-047 a CP-053.</t>
        </is>
      </c>
      <c r="L3" s="11" t="n"/>
    </row>
    <row r="4" ht="42.5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Completado el nivel 1 con 3 vidas y 1200 puntos: empezó el nivel 2 con 1200 puntos y 3 vidas. (Mapa reducido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próxima a completarse, con 2 vidas restantes y puntaje registrado.</t>
        </is>
      </c>
      <c r="C10" s="24" t="n"/>
      <c r="D10" s="18" t="inlineStr">
        <is>
          <t>Modo de juego:</t>
        </is>
      </c>
      <c r="E10" s="7" t="inlineStr">
        <is>
          <t>Pacman</t>
        </is>
      </c>
    </row>
    <row r="12">
      <c r="A12" s="13" t="inlineStr">
        <is>
          <t>Título del CP</t>
        </is>
      </c>
      <c r="B12" s="34" t="inlineStr">
        <is>
          <t>Paso al nivel siguiente conservando puntaje y vidas</t>
        </is>
      </c>
      <c r="C12" s="43" t="n"/>
      <c r="D12" s="43" t="n"/>
      <c r="E12" s="44" t="n"/>
    </row>
    <row r="13">
      <c r="A13" s="45" t="n"/>
      <c r="B13" s="46" t="n"/>
      <c r="C13" s="47" t="n"/>
      <c r="D13" s="47" t="n"/>
      <c r="E13" s="48" t="n"/>
    </row>
    <row r="15">
      <c r="A15" s="13" t="inlineStr">
        <is>
          <t>Historias de Usuario</t>
        </is>
      </c>
      <c r="B15" s="7" t="inlineStr">
        <is>
          <t>HU-04</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Se completa el nivel con 3 vidas en lugar de 2.</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Registrar puntaje y vidas.</t>
        </is>
      </c>
      <c r="C21" s="24" t="n"/>
      <c r="D21" s="7" t="inlineStr">
        <is>
          <t>Puntaje y vidas anotados como valores de referencia.</t>
        </is>
      </c>
      <c r="E21" s="24" t="n"/>
    </row>
    <row r="22" ht="16.2" customHeight="1">
      <c r="A22" s="8" t="n">
        <v>2</v>
      </c>
      <c r="B22" s="7" t="inlineStr">
        <is>
          <t>Completar el nivel 1.</t>
        </is>
      </c>
      <c r="C22" s="24" t="n"/>
      <c r="D22" s="7" t="inlineStr">
        <is>
          <t>Se muestra el resultado del nivel 1 con su puntaje.</t>
        </is>
      </c>
      <c r="E22" s="24" t="n"/>
    </row>
    <row r="23" ht="29.4" customHeight="1">
      <c r="A23" s="8" t="n">
        <v>3</v>
      </c>
      <c r="B23" s="7" t="inlineStr">
        <is>
          <t>Registrar puntaje, vidas y número de nivel.</t>
        </is>
      </c>
      <c r="C23" s="24" t="n"/>
      <c r="D23" s="18" t="inlineStr">
        <is>
          <t>Se inicia el nivel 2, el puntaje acumulado se conserva y el contador de vidas sigue en 2.</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CP-017</t>
        </is>
      </c>
      <c r="C1" s="13" t="inlineStr">
        <is>
          <t>Descripción / Funcionalidad</t>
        </is>
      </c>
      <c r="D1" s="18" t="inlineStr">
        <is>
          <t>HU-04 · Completar el nivel al consumir todas las esferas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95.3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Partida completa N1 → N2 → N3 en una sola corrida, jugada con el piloto automático (envía teclas de flecha, no modifica el estado). Terminó con 2 vidas (una perdida en N2). El total coincide con la suma del desglose. En N2 los 4 fantasmas fueron clásicos y en N3 los 4 fueron espectros (velocidad 3,5, atraviesan muros).</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Partida N1 → N2 → N3; en el nivel 3 los fantasmas fueron ['specter', 'jumper', 'naval', 'accelerated']; al consumir la última esfera se mostró «¡Nivel 3 completado!» y luego «¡Victoria!» con el puntaje final. (Mapas reducidos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3, próxima a completarse.</t>
        </is>
      </c>
      <c r="C10" s="24" t="n"/>
      <c r="D10" s="18" t="inlineStr">
        <is>
          <t>Modo de juego:</t>
        </is>
      </c>
      <c r="E10" s="7" t="inlineStr">
        <is>
          <t>Pacman</t>
        </is>
      </c>
    </row>
    <row r="12">
      <c r="A12" s="13" t="inlineStr">
        <is>
          <t>Título del CP</t>
        </is>
      </c>
      <c r="B12" s="34" t="inlineStr">
        <is>
          <t>Victoria al completar el nivel 3</t>
        </is>
      </c>
      <c r="C12" s="43" t="n"/>
      <c r="D12" s="43" t="n"/>
      <c r="E12" s="44" t="n"/>
    </row>
    <row r="13">
      <c r="A13" s="45" t="n"/>
      <c r="B13" s="46" t="n"/>
      <c r="C13" s="47" t="n"/>
      <c r="D13" s="47" t="n"/>
      <c r="E13" s="48" t="n"/>
    </row>
    <row r="15">
      <c r="A15" s="13" t="inlineStr">
        <is>
          <t>Historias de Usuario</t>
        </is>
      </c>
      <c r="B15" s="7" t="inlineStr">
        <is>
          <t>HU-04</t>
        </is>
      </c>
      <c r="C15" s="13" t="inlineStr">
        <is>
          <t>Épica</t>
        </is>
      </c>
      <c r="D15" s="7" t="inlineStr">
        <is>
          <t>E1 — Núcleo de juego y movimiento</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Partida completa N1 → N2 → N3 con los fantasmas nuevos de la V2.</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la última esfera del nivel 3.</t>
        </is>
      </c>
      <c r="C21" s="24" t="n"/>
      <c r="D21" s="18" t="inlineStr">
        <is>
          <t>La partida termina en victoria y se muestra la pantalla de Victoria con el puntaje final.</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CP-018</t>
        </is>
      </c>
      <c r="C1" s="13" t="inlineStr">
        <is>
          <t>Descripción / Funcionalidad</t>
        </is>
      </c>
      <c r="D1" s="18" t="inlineStr">
        <is>
          <t>HU-05 · Obtener el PowerUp al consumir una esfera grande</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Alejamiento medido en la misma corrida (ver CP-020).</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Al pasar por (13,1) el PowerUp se activó solo; puntaje +50; los fantasmas cambiaron al diseño vulnerable y se alejaron (suma de distancias 48 → 76). (Fantasmas ubicados en el centro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sin PowerUp activo.</t>
        </is>
      </c>
      <c r="C10" s="24" t="n"/>
      <c r="D10" s="18" t="inlineStr">
        <is>
          <t>Modo de juego:</t>
        </is>
      </c>
      <c r="E10" s="7" t="inlineStr">
        <is>
          <t>Pacman</t>
        </is>
      </c>
    </row>
    <row r="12">
      <c r="A12" s="13" t="inlineStr">
        <is>
          <t>Título del CP</t>
        </is>
      </c>
      <c r="B12" s="34" t="inlineStr">
        <is>
          <t>Activación automática del PowerUp</t>
        </is>
      </c>
      <c r="C12" s="43" t="n"/>
      <c r="D12" s="43" t="n"/>
      <c r="E12" s="44" t="n"/>
    </row>
    <row r="13">
      <c r="A13" s="45" t="n"/>
      <c r="B13" s="46" t="n"/>
      <c r="C13" s="47" t="n"/>
      <c r="D13" s="47" t="n"/>
      <c r="E13" s="48" t="n"/>
    </row>
    <row r="15">
      <c r="A15" s="13" t="inlineStr">
        <is>
          <t>Historias de Usuario</t>
        </is>
      </c>
      <c r="B15" s="7" t="inlineStr">
        <is>
          <t>HU-05</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Esfera grande de (13,1).</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Registrar el puntaje.</t>
        </is>
      </c>
      <c r="C21" s="24" t="n"/>
      <c r="D21" s="7" t="inlineStr">
        <is>
          <t>Puntaje anotado como valor de referencia.</t>
        </is>
      </c>
      <c r="E21" s="24" t="n"/>
    </row>
    <row r="22" ht="42.59999999999999" customHeight="1">
      <c r="A22" s="8" t="n">
        <v>2</v>
      </c>
      <c r="B22" s="7" t="inlineStr">
        <is>
          <t>Consumir una esfera grande sin presionar ninguna otra tecla.</t>
        </is>
      </c>
      <c r="C22" s="24" t="n"/>
      <c r="D22" s="18" t="inlineStr">
        <is>
          <t>El PowerUp se activa de inmediato sin intervención del jugador, el puntaje aumenta exactamente 50, los fantasmas cambian su diseño y se alejan de Pacman.</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CP-019</t>
        </is>
      </c>
      <c r="C1" s="13" t="inlineStr">
        <is>
          <t>Descripción / Funcionalidad</t>
        </is>
      </c>
      <c r="D1" s="18" t="inlineStr">
        <is>
          <t>HU-05 · Obtener el PowerUp al consumir una esfera grande</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Tiempos en tiempo de juego, sin contar las pausas usadas para las capturas.</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Esfera grande de (1,15): a los 7,5 s los fantasmas seguían vulnerables; a los 8,5 s recuperaron su diseño y volvieron a perseguir. Duración: 8 s.</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Duración del PowerUp</t>
        </is>
      </c>
      <c r="C12" s="43" t="n"/>
      <c r="D12" s="43" t="n"/>
      <c r="E12" s="44" t="n"/>
    </row>
    <row r="13">
      <c r="A13" s="45" t="n"/>
      <c r="B13" s="46" t="n"/>
      <c r="C13" s="47" t="n"/>
      <c r="D13" s="47" t="n"/>
      <c r="E13" s="48" t="n"/>
    </row>
    <row r="15">
      <c r="A15" s="13" t="inlineStr">
        <is>
          <t>Historias de Usuario</t>
        </is>
      </c>
      <c r="B15" s="7" t="inlineStr">
        <is>
          <t>HU-05</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Esfera grande de (1,15); observaciones a 7,5 s y 8,5 s.</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una esfera grande y cronometrar desde ese instante.</t>
        </is>
      </c>
      <c r="C21" s="24" t="n"/>
      <c r="D21" s="7" t="inlineStr">
        <is>
          <t>El PowerUp se activa y los fantasmas cambian a su diseño vulnerable.</t>
        </is>
      </c>
      <c r="E21" s="24" t="n"/>
    </row>
    <row r="22" ht="29.4" customHeight="1">
      <c r="A22" s="8" t="n">
        <v>2</v>
      </c>
      <c r="B22" s="7" t="inlineStr">
        <is>
          <t>Observar el estado de los fantasmas a los 7 segundos.</t>
        </is>
      </c>
      <c r="C22" s="24" t="n"/>
      <c r="D22" s="7" t="inlineStr">
        <is>
          <t>A los 7 segundos los fantasmas siguen vulnerables (parpadeando).</t>
        </is>
      </c>
      <c r="E22" s="24" t="n"/>
    </row>
    <row r="23" ht="55.8" customHeight="1">
      <c r="A23" s="8" t="n">
        <v>3</v>
      </c>
      <c r="B23" s="7" t="inlineStr">
        <is>
          <t>Observarlo a los 9 segundos.</t>
        </is>
      </c>
      <c r="C23" s="24" t="n"/>
      <c r="D23" s="18" t="inlineStr">
        <is>
          <t>A los 7 segundos los fantasmas siguen en estado vulnerable; a los 9 segundos recuperaron su diseño normal y volvieron a perseguir a Pacman. La duración total es de 8 segundos.</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CP-020</t>
        </is>
      </c>
      <c r="C1" s="13" t="inlineStr">
        <is>
          <t>Descripción / Funcionalidad</t>
        </is>
      </c>
      <c r="D1" s="18" t="inlineStr">
        <is>
          <t>HU-05 · Obtener el PowerUp al consumir una esfera grande</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Según el código del juego, un fantasma vulnerable huye hacia un punto opuesto a Pacman. Observación: los fantasmas se mueven de a pares superpuestos (rojo/celeste y rosa/naranja) porque todos persiguen exactamente a Pacman.</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El fantasma rosa venía hacia Pacman por la fila 4; al consumir la esfera grande dejó de acercarse y se alejó (distancia 2 → 7 celdas).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un fantasma persiguiendo a Pacman a corta distancia.</t>
        </is>
      </c>
      <c r="C10" s="24" t="n"/>
      <c r="D10" s="18" t="inlineStr">
        <is>
          <t>Modo de juego:</t>
        </is>
      </c>
      <c r="E10" s="7" t="inlineStr">
        <is>
          <t>Pacman</t>
        </is>
      </c>
    </row>
    <row r="12">
      <c r="A12" s="13" t="inlineStr">
        <is>
          <t>Título del CP</t>
        </is>
      </c>
      <c r="B12" s="34" t="inlineStr">
        <is>
          <t>Los fantasmas huyen durante el PowerUp</t>
        </is>
      </c>
      <c r="C12" s="43" t="n"/>
      <c r="D12" s="43" t="n"/>
      <c r="E12" s="44" t="n"/>
    </row>
    <row r="13">
      <c r="A13" s="45" t="n"/>
      <c r="B13" s="46" t="n"/>
      <c r="C13" s="47" t="n"/>
      <c r="D13" s="47" t="n"/>
      <c r="E13" s="48" t="n"/>
    </row>
    <row r="15">
      <c r="A15" s="13" t="inlineStr">
        <is>
          <t>Historias de Usuario</t>
        </is>
      </c>
      <c r="B15" s="7" t="inlineStr">
        <is>
          <t>HU-05</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Fantasma perseguidor distinto (el rosa).</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una esfera grande.</t>
        </is>
      </c>
      <c r="C21" s="24" t="n"/>
      <c r="D21" s="7" t="inlineStr">
        <is>
          <t>El PowerUp se activa y los fantasmas cambian a su diseño vulnerable.</t>
        </is>
      </c>
      <c r="E21" s="24" t="n"/>
    </row>
    <row r="22" ht="29.4" customHeight="1">
      <c r="A22" s="8" t="n">
        <v>2</v>
      </c>
      <c r="B22" s="7" t="inlineStr">
        <is>
          <t>Observar la trayectoria del fantasma que perseguía a Pacman.</t>
        </is>
      </c>
      <c r="C22" s="24" t="n"/>
      <c r="D22" s="18" t="inlineStr">
        <is>
          <t>El fantasma deja de acercarse a Pacman y se desplaza alejándose de él.</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CP-021</t>
        </is>
      </c>
      <c r="C1" s="13" t="inlineStr">
        <is>
          <t>Descripción / Funcionalidad</t>
        </is>
      </c>
      <c r="D1" s="18" t="inlineStr">
        <is>
          <t>HU-05 · Obtener el PowerUp al consumir una esfera grande</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No terminó ni a los 3 s (lo que quedaba) ni a los 11 s (3 + 8).</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Primera esfera grande (13,1) y, a los 5 s, la segunda (1,1): el PowerUp siguió activo a los 7,8 s del segundo consumo y terminó antes de los 8,2 s (8 s completos, no 3).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dos esferas grandes accesibles.</t>
        </is>
      </c>
      <c r="C10" s="24" t="n"/>
      <c r="D10" s="18" t="inlineStr">
        <is>
          <t>Modo de juego:</t>
        </is>
      </c>
      <c r="E10" s="7" t="inlineStr">
        <is>
          <t>Pacman</t>
        </is>
      </c>
    </row>
    <row r="12">
      <c r="A12" s="13" t="inlineStr">
        <is>
          <t>Título del CP</t>
        </is>
      </c>
      <c r="B12" s="34" t="inlineStr">
        <is>
          <t>Reinicio del temporizador por una segunda esfera grande</t>
        </is>
      </c>
      <c r="C12" s="43" t="n"/>
      <c r="D12" s="43" t="n"/>
      <c r="E12" s="44" t="n"/>
    </row>
    <row r="13">
      <c r="A13" s="45" t="n"/>
      <c r="B13" s="46" t="n"/>
      <c r="C13" s="47" t="n"/>
      <c r="D13" s="47" t="n"/>
      <c r="E13" s="48" t="n"/>
    </row>
    <row r="15">
      <c r="A15" s="13" t="inlineStr">
        <is>
          <t>Historias de Usuario</t>
        </is>
      </c>
      <c r="B15" s="7" t="inlineStr">
        <is>
          <t>HU-05</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Consumir una esfera grande.</t>
        </is>
      </c>
      <c r="C19" s="24" t="n"/>
      <c r="D19" s="7" t="inlineStr">
        <is>
          <t>El PowerUp se activa.</t>
        </is>
      </c>
      <c r="E19" s="24" t="n"/>
    </row>
    <row r="20" ht="29.4" customHeight="1">
      <c r="A20" s="8" t="n">
        <v>2</v>
      </c>
      <c r="B20" s="7" t="inlineStr">
        <is>
          <t>A los 5 segundos, consumir la segunda esfera grande.</t>
        </is>
      </c>
      <c r="C20" s="24" t="n"/>
      <c r="D20" s="7" t="inlineStr">
        <is>
          <t>La segunda esfera grande desaparece y el PowerUp sigue activo.</t>
        </is>
      </c>
      <c r="E20" s="24" t="n"/>
    </row>
    <row r="21" ht="29.4" customHeight="1">
      <c r="A21" s="8" t="n">
        <v>3</v>
      </c>
      <c r="B21" s="7" t="inlineStr">
        <is>
          <t>Cronometrar desde el segundo consumo.</t>
        </is>
      </c>
      <c r="C21" s="24" t="n"/>
      <c r="D21" s="18" t="inlineStr">
        <is>
          <t>El PowerUp permanece activo 8 segundos completos a partir del segundo consumo, no 3.</t>
        </is>
      </c>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CP-022</t>
        </is>
      </c>
      <c r="C1" s="13" t="inlineStr">
        <is>
          <t>Descripción / Funcionalidad</t>
        </is>
      </c>
      <c r="D1" s="18" t="inlineStr">
        <is>
          <t>HU-05 · Obtener el PowerUp al consumir una esfera grande</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Los fantasmas se mueven superpuestos de a pares, por lo que se comen dos en el mismo cuadro; el incremento se descompone con el contador interno de fantasmas comidos (200 + 400). El primer fantasma de cada tramo sumó 200.</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Fantasma comido con la primera esfera grande: +200; tras la segunda esfera grande (PowerUp activo), el siguiente fantasma sumó +200: la escala se reinició.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dos esferas grandes accesibles.</t>
        </is>
      </c>
      <c r="C10" s="24" t="n"/>
      <c r="D10" s="18" t="inlineStr">
        <is>
          <t>Modo de juego:</t>
        </is>
      </c>
      <c r="E10" s="7" t="inlineStr">
        <is>
          <t>Pacman</t>
        </is>
      </c>
    </row>
    <row r="12">
      <c r="A12" s="13" t="inlineStr">
        <is>
          <t>Título del CP</t>
        </is>
      </c>
      <c r="B12" s="34" t="inlineStr">
        <is>
          <t>Reinicio de la escala de puntos por una segunda esfera grande</t>
        </is>
      </c>
      <c r="C12" s="43" t="n"/>
      <c r="D12" s="43" t="n"/>
      <c r="E12" s="44" t="n"/>
    </row>
    <row r="13">
      <c r="A13" s="45" t="n"/>
      <c r="B13" s="46" t="n"/>
      <c r="C13" s="47" t="n"/>
      <c r="D13" s="47" t="n"/>
      <c r="E13" s="48" t="n"/>
    </row>
    <row r="15">
      <c r="A15" s="13" t="inlineStr">
        <is>
          <t>Historias de Usuario</t>
        </is>
      </c>
      <c r="B15" s="7" t="inlineStr">
        <is>
          <t>HU-05</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Consumir una esfera grande.</t>
        </is>
      </c>
      <c r="C19" s="24" t="n"/>
      <c r="D19" s="7" t="inlineStr">
        <is>
          <t>El PowerUp se activa.</t>
        </is>
      </c>
      <c r="E19" s="24" t="n"/>
    </row>
    <row r="20" ht="29.4" customHeight="1">
      <c r="A20" s="8" t="n">
        <v>2</v>
      </c>
      <c r="B20" s="7" t="inlineStr">
        <is>
          <t>Comer un fantasma y registrar los puntos obtenidos.</t>
        </is>
      </c>
      <c r="C20" s="24" t="n"/>
      <c r="D20" s="7" t="inlineStr">
        <is>
          <t>El fantasma es comido y suma 200 puntos.</t>
        </is>
      </c>
      <c r="E20" s="24" t="n"/>
    </row>
    <row r="21" ht="29.4" customHeight="1">
      <c r="A21" s="8" t="n">
        <v>3</v>
      </c>
      <c r="B21" s="7" t="inlineStr">
        <is>
          <t>Consumir la segunda esfera grande.</t>
        </is>
      </c>
      <c r="C21" s="24" t="n"/>
      <c r="D21" s="7" t="inlineStr">
        <is>
          <t>La segunda esfera grande desaparece y el PowerUp sigue activo.</t>
        </is>
      </c>
      <c r="E21" s="24" t="n"/>
    </row>
    <row r="22" ht="29.4" customHeight="1">
      <c r="A22" s="8" t="n">
        <v>4</v>
      </c>
      <c r="B22" s="7" t="inlineStr">
        <is>
          <t>Comer otro fantasma y registrar los puntos obtenidos.</t>
        </is>
      </c>
      <c r="C22" s="24" t="n"/>
      <c r="D22" s="18" t="inlineStr">
        <is>
          <t>El fantasma del paso 2 suma 200 puntos y el del paso 4 suma 200 puntos, no 400.</t>
        </is>
      </c>
      <c r="E22" s="24" t="n"/>
    </row>
    <row r="23" ht="24" customHeight="1">
      <c r="A23" s="21" t="inlineStr">
        <is>
          <t>El caso se aprueba solo si se cumple todo el resultado esperado del último paso (en negrita); si cualquier parte no se cumple, se registra como Fallido.</t>
        </is>
      </c>
    </row>
  </sheetData>
  <mergeCells count="28">
    <mergeCell ref="D20:E20"/>
    <mergeCell ref="B7:C7"/>
    <mergeCell ref="D1:E1"/>
    <mergeCell ref="D19:E19"/>
    <mergeCell ref="B12:E13"/>
    <mergeCell ref="B22:C22"/>
    <mergeCell ref="D22:E22"/>
    <mergeCell ref="B18:C18"/>
    <mergeCell ref="D21:E21"/>
    <mergeCell ref="B21:C21"/>
    <mergeCell ref="D2:E2"/>
    <mergeCell ref="A12:A13"/>
    <mergeCell ref="B8:C8"/>
    <mergeCell ref="A3:B3"/>
    <mergeCell ref="G1:L1"/>
    <mergeCell ref="D16:E16"/>
    <mergeCell ref="D7:E7"/>
    <mergeCell ref="B19:C19"/>
    <mergeCell ref="B10:C10"/>
    <mergeCell ref="D4:E4"/>
    <mergeCell ref="A23:E23"/>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CP-023</t>
        </is>
      </c>
      <c r="C1" s="13" t="inlineStr">
        <is>
          <t>Descripción / Funcionalidad</t>
        </is>
      </c>
      <c r="D1" s="18" t="inlineStr">
        <is>
          <t>HU-06 · Comer fantasmas durante el PowerUp</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Los fantasmas van superpuestos de a pares y se comen dos en el mismo cuadro, por lo que no se pudo registrar el puntaje entre el 1.º y el 2.º, ni entre el 3.º y el 4.º. Los incrementos coinciden con la escala en orden. Ver observación de CP-020.</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la esfera grande de (13,15), los cuatro fantasmas comidos sumaron [200, 400, 800, 1600].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cuatro fantasmas próximos a Pacman.</t>
        </is>
      </c>
      <c r="C10" s="24" t="n"/>
      <c r="D10" s="18" t="inlineStr">
        <is>
          <t>Modo de juego:</t>
        </is>
      </c>
      <c r="E10" s="7" t="inlineStr">
        <is>
          <t>Pacman</t>
        </is>
      </c>
    </row>
    <row r="12">
      <c r="A12" s="13" t="inlineStr">
        <is>
          <t>Título del CP</t>
        </is>
      </c>
      <c r="B12" s="34" t="inlineStr">
        <is>
          <t>Escala de puntos por fantasmas comidos</t>
        </is>
      </c>
      <c r="C12" s="43" t="n"/>
      <c r="D12" s="43" t="n"/>
      <c r="E12" s="44" t="n"/>
    </row>
    <row r="13">
      <c r="A13" s="45" t="n"/>
      <c r="B13" s="46" t="n"/>
      <c r="C13" s="47" t="n"/>
      <c r="D13" s="47" t="n"/>
      <c r="E13" s="48" t="n"/>
    </row>
    <row r="15">
      <c r="A15" s="13" t="inlineStr">
        <is>
          <t>Historias de Usuario</t>
        </is>
      </c>
      <c r="B15" s="7" t="inlineStr">
        <is>
          <t>HU-06</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Se usa la esfera grande de (13,15).</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Consumir una esfera grande.</t>
        </is>
      </c>
      <c r="C21" s="24" t="n"/>
      <c r="D21" s="7" t="inlineStr">
        <is>
          <t>El PowerUp se activa.</t>
        </is>
      </c>
      <c r="E21" s="24" t="n"/>
    </row>
    <row r="22" ht="42.59999999999999" customHeight="1">
      <c r="A22" s="8" t="n">
        <v>2</v>
      </c>
      <c r="B22" s="7" t="inlineStr">
        <is>
          <t>Comer los cuatro fantasmas dentro de la duración del PowerUp, registrando el puntaje antes y después de cada uno.</t>
        </is>
      </c>
      <c r="C22" s="24" t="n"/>
      <c r="D22" s="18" t="inlineStr">
        <is>
          <t>Los incrementos de puntaje son exactamente 200, 400, 800 y 1600, en ese orden.</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CP-024</t>
        </is>
      </c>
      <c r="C1" s="13" t="inlineStr">
        <is>
          <t>Descripción / Funcionalidad</t>
        </is>
      </c>
      <c r="D1" s="18" t="inlineStr">
        <is>
          <t>HU-06 · Comer fantasmas durante el PowerUp</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El primer fantasma del segundo PowerUp sumó 200. Ver observación de CP-022 sobre los pares superpuestos.</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Primer PowerUp (13,15): fantasma +200; terminado el PowerUp, segundo PowerUp con la esfera de (1,1): fantasma +200.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Reinicio de la escala al terminar el PowerUp</t>
        </is>
      </c>
      <c r="C12" s="43" t="n"/>
      <c r="D12" s="43" t="n"/>
      <c r="E12" s="44" t="n"/>
    </row>
    <row r="13">
      <c r="A13" s="45" t="n"/>
      <c r="B13" s="46" t="n"/>
      <c r="C13" s="47" t="n"/>
      <c r="D13" s="47" t="n"/>
      <c r="E13" s="48" t="n"/>
    </row>
    <row r="15">
      <c r="A15" s="13" t="inlineStr">
        <is>
          <t>Historias de Usuario</t>
        </is>
      </c>
      <c r="B15" s="7" t="inlineStr">
        <is>
          <t>HU-06</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Segundo PowerUp con una esfera grande distinta.</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una esfera grande y comer un fantasma (200 puntos).</t>
        </is>
      </c>
      <c r="C21" s="24" t="n"/>
      <c r="D21" s="7" t="inlineStr">
        <is>
          <t>El fantasma es comido y el puntaje aumenta 200.</t>
        </is>
      </c>
      <c r="E21" s="24" t="n"/>
    </row>
    <row r="22" ht="16.2" customHeight="1">
      <c r="A22" s="8" t="n">
        <v>2</v>
      </c>
      <c r="B22" s="7" t="inlineStr">
        <is>
          <t>Esperar a que el PowerUp termine.</t>
        </is>
      </c>
      <c r="C22" s="24" t="n"/>
      <c r="D22" s="7" t="inlineStr">
        <is>
          <t>Los fantasmas recuperan su diseño normal.</t>
        </is>
      </c>
      <c r="E22" s="24" t="n"/>
    </row>
    <row r="23" ht="29.4" customHeight="1">
      <c r="A23" s="8" t="n">
        <v>3</v>
      </c>
      <c r="B23" s="7" t="inlineStr">
        <is>
          <t>Consumir otra esfera grande y comer un fantasma, registrando el incremento.</t>
        </is>
      </c>
      <c r="C23" s="24" t="n"/>
      <c r="D23" s="18" t="inlineStr">
        <is>
          <t>El fantasma del paso 3 suma 200 puntos, no 400.</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CP-025</t>
        </is>
      </c>
      <c r="C1" s="13" t="inlineStr">
        <is>
          <t>Descripción / Funcionalidad</t>
        </is>
      </c>
      <c r="D1" s="18" t="inlineStr">
        <is>
          <t>HU-06 · Comer fantasmas durante el PowerUp</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2 vidas y PowerUp activo, el fantasma tocado desapareció; vidas 2 → 2; el nivel no se reinició (Pacman siguió en la fila 4). (Vidas fijadas en 2 por script.)</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3 vidas, PowerUp activo.</t>
        </is>
      </c>
      <c r="C10" s="24" t="n"/>
      <c r="D10" s="18" t="inlineStr">
        <is>
          <t>Modo de juego:</t>
        </is>
      </c>
      <c r="E10" s="7" t="inlineStr">
        <is>
          <t>Pacman</t>
        </is>
      </c>
    </row>
    <row r="12">
      <c r="A12" s="13" t="inlineStr">
        <is>
          <t>Título del CP</t>
        </is>
      </c>
      <c r="B12" s="34" t="inlineStr">
        <is>
          <t>Comer un fantasma no descuenta vidas</t>
        </is>
      </c>
      <c r="C12" s="43" t="n"/>
      <c r="D12" s="43" t="n"/>
      <c r="E12" s="44" t="n"/>
    </row>
    <row r="13">
      <c r="A13" s="45" t="n"/>
      <c r="B13" s="46" t="n"/>
      <c r="C13" s="47" t="n"/>
      <c r="D13" s="47" t="n"/>
      <c r="E13" s="48" t="n"/>
    </row>
    <row r="15">
      <c r="A15" s="13" t="inlineStr">
        <is>
          <t>Historias de Usuario</t>
        </is>
      </c>
      <c r="B15" s="7" t="inlineStr">
        <is>
          <t>HU-06</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Con 2 vidas en lugar de 3.</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Registrar el contador de vidas.</t>
        </is>
      </c>
      <c r="C21" s="24" t="n"/>
      <c r="D21" s="7" t="inlineStr">
        <is>
          <t>Contador de vidas anotado como referencia.</t>
        </is>
      </c>
      <c r="E21" s="24" t="n"/>
    </row>
    <row r="22" ht="16.2" customHeight="1">
      <c r="A22" s="8" t="n">
        <v>2</v>
      </c>
      <c r="B22" s="7" t="inlineStr">
        <is>
          <t>Tocar un fantasma con el PowerUp activo.</t>
        </is>
      </c>
      <c r="C22" s="24" t="n"/>
      <c r="D22" s="7" t="inlineStr">
        <is>
          <t>El fantasma es comido y desaparece del mapa.</t>
        </is>
      </c>
      <c r="E22" s="24" t="n"/>
    </row>
    <row r="23" ht="29.4" customHeight="1">
      <c r="A23" s="8" t="n">
        <v>3</v>
      </c>
      <c r="B23" s="7" t="inlineStr">
        <is>
          <t>Registrar el contador de vidas.</t>
        </is>
      </c>
      <c r="C23" s="24" t="n"/>
      <c r="D23" s="18" t="inlineStr">
        <is>
          <t>El fantasma desaparece del mapa, el contador de vidas sigue en 3 y el nivel no se reinicia.</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CP-026</t>
        </is>
      </c>
      <c r="C1" s="13" t="inlineStr">
        <is>
          <t>Descripción / Funcionalidad</t>
        </is>
      </c>
      <c r="D1" s="18" t="inlineStr">
        <is>
          <t>HU-06 · Comer fantasmas durante el PowerUp</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El fantasma rojo comido desapareció y reapareció a los 5.00 s en su punto de reaparición (1, 1); luego siguió moviéndose. (PowerUp prolongado por script para observar la reaparición.)</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PowerUp activo.</t>
        </is>
      </c>
      <c r="C10" s="24" t="n"/>
      <c r="D10" s="18" t="inlineStr">
        <is>
          <t>Modo de juego:</t>
        </is>
      </c>
      <c r="E10" s="7" t="inlineStr">
        <is>
          <t>Pacman</t>
        </is>
      </c>
    </row>
    <row r="12">
      <c r="A12" s="13" t="inlineStr">
        <is>
          <t>Título del CP</t>
        </is>
      </c>
      <c r="B12" s="34" t="inlineStr">
        <is>
          <t>Reaparición del fantasma comido</t>
        </is>
      </c>
      <c r="C12" s="43" t="n"/>
      <c r="D12" s="43" t="n"/>
      <c r="E12" s="44" t="n"/>
    </row>
    <row r="13">
      <c r="A13" s="45" t="n"/>
      <c r="B13" s="46" t="n"/>
      <c r="C13" s="47" t="n"/>
      <c r="D13" s="47" t="n"/>
      <c r="E13" s="48" t="n"/>
    </row>
    <row r="15">
      <c r="A15" s="13" t="inlineStr">
        <is>
          <t>Historias de Usuario</t>
        </is>
      </c>
      <c r="B15" s="7" t="inlineStr">
        <is>
          <t>HU-06</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Comer un fantasma y cronometrar.</t>
        </is>
      </c>
      <c r="C19" s="24" t="n"/>
      <c r="D19" s="7" t="inlineStr">
        <is>
          <t>El fantasma desaparece del mapa.</t>
        </is>
      </c>
      <c r="E19" s="24" t="n"/>
    </row>
    <row r="20" ht="29.4" customHeight="1">
      <c r="A20" s="8" t="n">
        <v>2</v>
      </c>
      <c r="B20" s="7" t="inlineStr">
        <is>
          <t>Observar el punto de reaparición y el momento en que reaparece.</t>
        </is>
      </c>
      <c r="C20" s="24" t="n"/>
      <c r="D20" s="18" t="inlineStr">
        <is>
          <t>El fantasma reaparece en su punto de reaparición a los 5 segundos y retoma su comportamiento normal.</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CP-027</t>
        </is>
      </c>
      <c r="C1" s="13" t="inlineStr">
        <is>
          <t>Descripción / Funcionalidad</t>
        </is>
      </c>
      <c r="D1" s="18" t="inlineStr">
        <is>
          <t>HU-06 · Comer fantasmas durante el PowerUp</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6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El paso 2 comió 2 fantasmas a la vez (van superpuestos de a pares), por eso el siguiente valor de la escala fue 800 y no 400. Lo que valida el caso es que continúa (800) en lugar de reiniciarse (200).</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Primer bocado +200; el fantasma reapareció a los 5.03 s con el PowerUp activo y en estado vulnerable; comido otra vez sumó +400: la escala siguió.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Fantasma que reaparece con el PowerUp aún activo</t>
        </is>
      </c>
      <c r="C12" s="43" t="n"/>
      <c r="D12" s="43" t="n"/>
      <c r="E12" s="44" t="n"/>
    </row>
    <row r="13">
      <c r="A13" s="45" t="n"/>
      <c r="B13" s="46" t="n"/>
      <c r="C13" s="47" t="n"/>
      <c r="D13" s="47" t="n"/>
      <c r="E13" s="48" t="n"/>
    </row>
    <row r="15">
      <c r="A15" s="13" t="inlineStr">
        <is>
          <t>Historias de Usuario</t>
        </is>
      </c>
      <c r="B15" s="7" t="inlineStr">
        <is>
          <t>HU-06</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Consumir una esfera grande.</t>
        </is>
      </c>
      <c r="C19" s="24" t="n"/>
      <c r="D19" s="7" t="inlineStr">
        <is>
          <t>El PowerUp se activa.</t>
        </is>
      </c>
      <c r="E19" s="24" t="n"/>
    </row>
    <row r="20" ht="16.2" customHeight="1">
      <c r="A20" s="8" t="n">
        <v>2</v>
      </c>
      <c r="B20" s="7" t="inlineStr">
        <is>
          <t>Comer un fantasma de inmediato (200 puntos).</t>
        </is>
      </c>
      <c r="C20" s="24" t="n"/>
      <c r="D20" s="7" t="inlineStr">
        <is>
          <t>El fantasma es comido y suma 200 puntos.</t>
        </is>
      </c>
      <c r="E20" s="24" t="n"/>
    </row>
    <row r="21" ht="29.4" customHeight="1">
      <c r="A21" s="8" t="n">
        <v>3</v>
      </c>
      <c r="B21" s="7" t="inlineStr">
        <is>
          <t>Esperar su reaparición dentro de los 8 segundos del PowerUp.</t>
        </is>
      </c>
      <c r="C21" s="24" t="n"/>
      <c r="D21" s="7" t="inlineStr">
        <is>
          <t>El fantasma reaparece en su punto de reaparición a los 5 segundos.</t>
        </is>
      </c>
      <c r="E21" s="24" t="n"/>
    </row>
    <row r="22" ht="42.59999999999999" customHeight="1">
      <c r="A22" s="8" t="n">
        <v>4</v>
      </c>
      <c r="B22" s="7" t="inlineStr">
        <is>
          <t>Comerlo otra vez y registrar el incremento.</t>
        </is>
      </c>
      <c r="C22" s="24" t="n"/>
      <c r="D22" s="18" t="inlineStr">
        <is>
          <t>El fantasma reaparece en estado vulnerable, puede volver a ser comido y el incremento del paso 4 es de 400 puntos: la escala continúa y no se reinicia.</t>
        </is>
      </c>
      <c r="E22" s="24" t="n"/>
    </row>
    <row r="23" ht="24" customHeight="1">
      <c r="A23" s="21" t="inlineStr">
        <is>
          <t>El caso se aprueba solo si se cumple todo el resultado esperado del último paso (en negrita); si cualquier parte no se cumple, se registra como Fallido.</t>
        </is>
      </c>
    </row>
  </sheetData>
  <mergeCells count="28">
    <mergeCell ref="D20:E20"/>
    <mergeCell ref="B7:C7"/>
    <mergeCell ref="D1:E1"/>
    <mergeCell ref="D19:E19"/>
    <mergeCell ref="B12:E13"/>
    <mergeCell ref="B22:C22"/>
    <mergeCell ref="D22:E22"/>
    <mergeCell ref="B18:C18"/>
    <mergeCell ref="D21:E21"/>
    <mergeCell ref="B21:C21"/>
    <mergeCell ref="D2:E2"/>
    <mergeCell ref="A12:A13"/>
    <mergeCell ref="B8:C8"/>
    <mergeCell ref="A3:B3"/>
    <mergeCell ref="G1:L1"/>
    <mergeCell ref="D16:E16"/>
    <mergeCell ref="D7:E7"/>
    <mergeCell ref="B19:C19"/>
    <mergeCell ref="B10:C10"/>
    <mergeCell ref="D4:E4"/>
    <mergeCell ref="A23:E23"/>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CP-028</t>
        </is>
      </c>
      <c r="C1" s="13" t="inlineStr">
        <is>
          <t>Descripción / Funcionalidad</t>
        </is>
      </c>
      <c r="D1" s="18" t="inlineStr">
        <is>
          <t>HU-07 · Advertir el fin del PowerUp</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El ciclo de parpadeo arranca en su fase azul, por lo que el primer cambio visible a blanco ocurre a los 6,2 s y no a los 6,0 s exactos.</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A los 5 s los fantasmas se veían azules fijos (colores muestreados: ['azul']); a los 7 s alternaban azul y blanco (parpadeo, colores: ['azul', 'blanco']), distinto del azul fijo y del color normal. (Capturas CP-028-5s y CP-028-7s; colores leídos del canvas.)</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Parpadeo en los últimos 2 segundos del PowerUp</t>
        </is>
      </c>
      <c r="C12" s="43" t="n"/>
      <c r="D12" s="43" t="n"/>
      <c r="E12" s="44" t="n"/>
    </row>
    <row r="13">
      <c r="A13" s="45" t="n"/>
      <c r="B13" s="46" t="n"/>
      <c r="C13" s="47" t="n"/>
      <c r="D13" s="47" t="n"/>
      <c r="E13" s="48" t="n"/>
    </row>
    <row r="15">
      <c r="A15" s="13" t="inlineStr">
        <is>
          <t>Historias de Usuario</t>
        </is>
      </c>
      <c r="B15" s="7" t="inlineStr">
        <is>
          <t>HU-07</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Consumir una esfera grande y cronometrar.</t>
        </is>
      </c>
      <c r="C19" s="24" t="n"/>
      <c r="D19" s="7" t="inlineStr">
        <is>
          <t>El PowerUp se activa y los fantasmas cambian a su diseño vulnerable estable.</t>
        </is>
      </c>
      <c r="E19" s="24" t="n"/>
    </row>
    <row r="20" ht="55.8" customHeight="1">
      <c r="A20" s="8" t="n">
        <v>2</v>
      </c>
      <c r="B20" s="7" t="inlineStr">
        <is>
          <t>Observar el aspecto de los fantasmas a los 5 segundos y a los 7 segundos.</t>
        </is>
      </c>
      <c r="C20" s="24" t="n"/>
      <c r="D20" s="18" t="inlineStr">
        <is>
          <t>A los 5 segundos los fantasmas muestran el estado vulnerable estable; a los 7 segundos parpadean. El parpadeo se distingue tanto del estado vulnerable estable como del diseño normal.</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CP-029</t>
        </is>
      </c>
      <c r="C1" s="13" t="inlineStr">
        <is>
          <t>Descripción / Funcionalidad</t>
        </is>
      </c>
      <c r="D1" s="18" t="inlineStr">
        <is>
          <t>HU-07 · Advertir el fin del PowerUp</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Al empezar el parpadeo se consumió la segunda esfera grande: el parpadeo cesó (colores después: ['azul']), el temporizador volvió a 7.97 s y el PowerUp seguía activo a los 7,8 s.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una esfera grande accesible.</t>
        </is>
      </c>
      <c r="C10" s="24" t="n"/>
      <c r="D10" s="18" t="inlineStr">
        <is>
          <t>Modo de juego:</t>
        </is>
      </c>
      <c r="E10" s="7" t="inlineStr">
        <is>
          <t>Pacman</t>
        </is>
      </c>
    </row>
    <row r="12">
      <c r="A12" s="13" t="inlineStr">
        <is>
          <t>Título del CP</t>
        </is>
      </c>
      <c r="B12" s="34" t="inlineStr">
        <is>
          <t>Esfera grande consumida durante el parpadeo</t>
        </is>
      </c>
      <c r="C12" s="43" t="n"/>
      <c r="D12" s="43" t="n"/>
      <c r="E12" s="44" t="n"/>
    </row>
    <row r="13">
      <c r="A13" s="45" t="n"/>
      <c r="B13" s="46" t="n"/>
      <c r="C13" s="47" t="n"/>
      <c r="D13" s="47" t="n"/>
      <c r="E13" s="48" t="n"/>
    </row>
    <row r="15">
      <c r="A15" s="13" t="inlineStr">
        <is>
          <t>Historias de Usuario</t>
        </is>
      </c>
      <c r="B15" s="7" t="inlineStr">
        <is>
          <t>HU-07</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Consumir una esfera grande.</t>
        </is>
      </c>
      <c r="C19" s="24" t="n"/>
      <c r="D19" s="7" t="inlineStr">
        <is>
          <t>El PowerUp se activa.</t>
        </is>
      </c>
      <c r="E19" s="24" t="n"/>
    </row>
    <row r="20" ht="29.4" customHeight="1">
      <c r="A20" s="8" t="n">
        <v>2</v>
      </c>
      <c r="B20" s="7" t="inlineStr">
        <is>
          <t>Al iniciarse el parpadeo, consumir la segunda esfera grande.</t>
        </is>
      </c>
      <c r="C20" s="24" t="n"/>
      <c r="D20" s="7" t="inlineStr">
        <is>
          <t>La segunda esfera grande desaparece.</t>
        </is>
      </c>
      <c r="E20" s="24" t="n"/>
    </row>
    <row r="21" ht="42.59999999999999" customHeight="1">
      <c r="A21" s="8" t="n">
        <v>3</v>
      </c>
      <c r="B21" s="7" t="inlineStr">
        <is>
          <t>Observar el aspecto de los fantasmas.</t>
        </is>
      </c>
      <c r="C21" s="24" t="n"/>
      <c r="D21" s="18" t="inlineStr">
        <is>
          <t>El parpadeo cesa, los fantasmas vuelven al estado vulnerable estable y el PowerUp se extiende 8 segundos desde el segundo consumo.</t>
        </is>
      </c>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CP-030</t>
        </is>
      </c>
      <c r="C1" s="13" t="inlineStr">
        <is>
          <t>Descripción / Funcionalidad</t>
        </is>
      </c>
      <c r="D1" s="18" t="inlineStr">
        <is>
          <t>HU-08 · Perder una vida al ser alcanzado por un fantasma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2 vidas, el contacto con el fantasma celeste dejó las vidas en 1; puntaje 10 → 10; Pacman volvió a (7,8) y los fantasmas a sus posiciones iniciales [[1, 1], [1, 15], [13, 1], [13, 15]]. (Vidas fijadas en 2 por script.)</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3 vidas, sin PowerUp activo.</t>
        </is>
      </c>
      <c r="C10" s="24" t="n"/>
      <c r="D10" s="18" t="inlineStr">
        <is>
          <t>Modo de juego:</t>
        </is>
      </c>
      <c r="E10" s="7" t="inlineStr">
        <is>
          <t>Pacman</t>
        </is>
      </c>
    </row>
    <row r="12">
      <c r="A12" s="13" t="inlineStr">
        <is>
          <t>Título del CP</t>
        </is>
      </c>
      <c r="B12" s="34" t="inlineStr">
        <is>
          <t>Descuento de una vida por contacto con un fantasma</t>
        </is>
      </c>
      <c r="C12" s="43" t="n"/>
      <c r="D12" s="43" t="n"/>
      <c r="E12" s="44" t="n"/>
    </row>
    <row r="13">
      <c r="A13" s="45" t="n"/>
      <c r="B13" s="46" t="n"/>
      <c r="C13" s="47" t="n"/>
      <c r="D13" s="47" t="n"/>
      <c r="E13" s="48" t="n"/>
    </row>
    <row r="15">
      <c r="A15" s="13" t="inlineStr">
        <is>
          <t>Historias de Usuario</t>
        </is>
      </c>
      <c r="B15" s="7" t="inlineStr">
        <is>
          <t>HU-08</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Con 2 vidas en lugar de 3, contacto con el fantasma celeste.</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Registrar el contador de vidas y el puntaje.</t>
        </is>
      </c>
      <c r="C21" s="24" t="n"/>
      <c r="D21" s="7" t="inlineStr">
        <is>
          <t>Vidas y puntaje anotados como valores de referencia.</t>
        </is>
      </c>
      <c r="E21" s="24" t="n"/>
    </row>
    <row r="22" ht="16.2" customHeight="1">
      <c r="A22" s="8" t="n">
        <v>2</v>
      </c>
      <c r="B22" s="7" t="inlineStr">
        <is>
          <t>Dejar que un fantasma alcance a Pacman.</t>
        </is>
      </c>
      <c r="C22" s="24" t="n"/>
      <c r="D22" s="7" t="inlineStr">
        <is>
          <t>Se produce el contacto entre Pacman y el fantasma.</t>
        </is>
      </c>
      <c r="E22" s="24" t="n"/>
    </row>
    <row r="23" ht="42.59999999999999" customHeight="1">
      <c r="A23" s="8" t="n">
        <v>3</v>
      </c>
      <c r="B23" s="7" t="inlineStr">
        <is>
          <t>Registrar ambos valores.</t>
        </is>
      </c>
      <c r="C23" s="24" t="n"/>
      <c r="D23" s="18" t="inlineStr">
        <is>
          <t>El contador de vidas baja a 2, el puntaje acumulado se conserva, y Pacman y los fantasmas vuelven a sus posiciones iniciales.</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CP-031</t>
        </is>
      </c>
      <c r="C1" s="13" t="inlineStr">
        <is>
          <t>Descripción / Funcionalidad</t>
        </is>
      </c>
      <c r="D1" s="18" t="inlineStr">
        <is>
          <t>HU-08 · Perder una vida al ser alcanzado por un fantasma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Contacto de frente en la columna 1 (Pacman subiendo, fantasma bajando): se descontó una sola vida (3 → 2).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3 vidas.</t>
        </is>
      </c>
      <c r="C10" s="24" t="n"/>
      <c r="D10" s="18" t="inlineStr">
        <is>
          <t>Modo de juego:</t>
        </is>
      </c>
      <c r="E10" s="7" t="inlineStr">
        <is>
          <t>Pacman</t>
        </is>
      </c>
    </row>
    <row r="12">
      <c r="A12" s="13" t="inlineStr">
        <is>
          <t>Título del CP</t>
        </is>
      </c>
      <c r="B12" s="34" t="inlineStr">
        <is>
          <t>Un solo contacto no descuenta más de una vida</t>
        </is>
      </c>
      <c r="C12" s="43" t="n"/>
      <c r="D12" s="43" t="n"/>
      <c r="E12" s="44" t="n"/>
    </row>
    <row r="13">
      <c r="A13" s="45" t="n"/>
      <c r="B13" s="46" t="n"/>
      <c r="C13" s="47" t="n"/>
      <c r="D13" s="47" t="n"/>
      <c r="E13" s="48" t="n"/>
    </row>
    <row r="15">
      <c r="A15" s="13" t="inlineStr">
        <is>
          <t>Historias de Usuario</t>
        </is>
      </c>
      <c r="B15" s="7" t="inlineStr">
        <is>
          <t>HU-08</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Contacto de frente en sentido vertical (columna 1).</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Dirigir a Pacman de frente contra un fantasma, sin cambiar de dirección durante el contacto.</t>
        </is>
      </c>
      <c r="C21" s="24" t="n"/>
      <c r="D21" s="7" t="inlineStr">
        <is>
          <t>Se produce un único contacto con el fantasma.</t>
        </is>
      </c>
      <c r="E21" s="24" t="n"/>
    </row>
    <row r="22" ht="29.4" customHeight="1">
      <c r="A22" s="8" t="n">
        <v>2</v>
      </c>
      <c r="B22" s="7" t="inlineStr">
        <is>
          <t>Registrar el contador de vidas inmediatamente después.</t>
        </is>
      </c>
      <c r="C22" s="24" t="n"/>
      <c r="D22" s="18" t="inlineStr">
        <is>
          <t>Se descuenta exactamente una vida. El contador queda en 2 y no en 1 ni en 0.</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4.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CP-032</t>
        </is>
      </c>
      <c r="C1" s="13" t="inlineStr">
        <is>
          <t>Descripción / Funcionalidad</t>
        </is>
      </c>
      <c r="D1" s="18" t="inlineStr">
        <is>
          <t>HU-08 · Perder una vida al ser alcanzado por un fantasma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Bloqueado</t>
        </is>
      </c>
      <c r="K3" s="11" t="inlineStr">
        <is>
          <t>Bloqueado: el prerrequisito no se puede alcanzar con las reglas del juego (verificado en la lógica del juego y en las corridas de CP-018 a CP-029). En la lógica, perder una vida sí cancela el PowerUp y quita la vulnerabilidad. Se sugiere revisar el diseño del caso con el equipo.</t>
        </is>
      </c>
      <c r="L3" s="11" t="n"/>
    </row>
    <row r="4" ht="95.39999999999999" customHeight="1">
      <c r="C4" s="13" t="inlineStr">
        <is>
          <t>Estado en la Entrega 1</t>
        </is>
      </c>
      <c r="D4" s="7" t="inlineStr">
        <is>
          <t>Bloqueado</t>
        </is>
      </c>
      <c r="E4" s="24" t="n"/>
      <c r="G4" s="9" t="inlineStr">
        <is>
          <t>Ciclo 2</t>
        </is>
      </c>
      <c r="H4" s="40" t="n">
        <v>46307</v>
      </c>
      <c r="I4" s="11" t="inlineStr">
        <is>
          <t>Luzzi</t>
        </is>
      </c>
      <c r="J4" s="11" t="inlineStr">
        <is>
          <t>Bloqueado</t>
        </is>
      </c>
      <c r="K4" s="11" t="inlineStr">
        <is>
          <t>Sigue Bloqueado. La precondición no se puede dar en el juego: un fantasma que reaparece con el PowerUp activo reaparece vulnerable (lo verifica CP-027) y ninguna otra situación (estado de gracia del espectro, frutas falsas, explosiones, dash) le hace perder una vida a Pacman con el PowerUp activo. Corrige el resultado del 12/10/2026, que se obtuvo forzando por script un fantasma no vulnerable durante el PowerUp, un estado que el juego no produce. Se propone que el equipo revise el criterio de la HU-08 y marque el caso como No aplica o lo reformule.</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PowerUp activo, un fantasma en estado de gracia o recién reaparecido.</t>
        </is>
      </c>
      <c r="C10" s="24" t="n"/>
      <c r="D10" s="18" t="inlineStr">
        <is>
          <t>Modo de juego:</t>
        </is>
      </c>
      <c r="E10" s="7" t="inlineStr">
        <is>
          <t>Pacman</t>
        </is>
      </c>
    </row>
    <row r="12">
      <c r="A12" s="13" t="inlineStr">
        <is>
          <t>Título del CP</t>
        </is>
      </c>
      <c r="B12" s="34" t="inlineStr">
        <is>
          <t>El PowerUp se cancela al perder una vida</t>
        </is>
      </c>
      <c r="C12" s="43" t="n"/>
      <c r="D12" s="43" t="n"/>
      <c r="E12" s="44" t="n"/>
    </row>
    <row r="13">
      <c r="A13" s="45" t="n"/>
      <c r="B13" s="46" t="n"/>
      <c r="C13" s="47" t="n"/>
      <c r="D13" s="47" t="n"/>
      <c r="E13" s="48" t="n"/>
    </row>
    <row r="15">
      <c r="A15" s="13" t="inlineStr">
        <is>
          <t>Historias de Usuario</t>
        </is>
      </c>
      <c r="B15" s="7" t="inlineStr">
        <is>
          <t>HU-08</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Con el PowerUp activo, perder una vida por contacto con un fantasma no vulnerable.</t>
        </is>
      </c>
      <c r="C19" s="24" t="n"/>
      <c r="D19" s="7" t="inlineStr">
        <is>
          <t>Se descuenta una vida.</t>
        </is>
      </c>
      <c r="E19" s="24" t="n"/>
    </row>
    <row r="20" ht="29.4" customHeight="1">
      <c r="A20" s="8" t="n">
        <v>2</v>
      </c>
      <c r="B20" s="7" t="inlineStr">
        <is>
          <t>Observar el estado de los fantasmas al reanudarse el nivel.</t>
        </is>
      </c>
      <c r="C20" s="24" t="n"/>
      <c r="D20" s="18" t="inlineStr">
        <is>
          <t>El PowerUp queda cancelado: los fantasmas muestran su diseño normal y persiguen a Pacman.</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5.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CP-033</t>
        </is>
      </c>
      <c r="C1" s="13" t="inlineStr">
        <is>
          <t>Descripción / Funcionalidad</t>
        </is>
      </c>
      <c r="D1" s="18" t="inlineStr">
        <is>
          <t>HU-08 · Perder una vida al ser alcanzado por un fantasma</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Coincide con lo observado en CP-012.</t>
        </is>
      </c>
      <c r="L3" s="11" t="n"/>
    </row>
    <row r="4" ht="82.1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20 esferas consumidas se perdió una vida: siguió el nivel 1, puntaje 200 → 200, las esferas consumidas siguen ausentes y los personajes volvieron a sus posiciones iniciales.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3 vidas, al menos 15 esferas consumidas.</t>
        </is>
      </c>
      <c r="C10" s="24" t="n"/>
      <c r="D10" s="18" t="inlineStr">
        <is>
          <t>Modo de juego:</t>
        </is>
      </c>
      <c r="E10" s="7" t="inlineStr">
        <is>
          <t>Pacman</t>
        </is>
      </c>
    </row>
    <row r="12">
      <c r="A12" s="13" t="inlineStr">
        <is>
          <t>Título del CP</t>
        </is>
      </c>
      <c r="B12" s="34" t="inlineStr">
        <is>
          <t>Reanudación del nivel tras perder una vida</t>
        </is>
      </c>
      <c r="C12" s="43" t="n"/>
      <c r="D12" s="43" t="n"/>
      <c r="E12" s="44" t="n"/>
    </row>
    <row r="13">
      <c r="A13" s="45" t="n"/>
      <c r="B13" s="46" t="n"/>
      <c r="C13" s="47" t="n"/>
      <c r="D13" s="47" t="n"/>
      <c r="E13" s="48" t="n"/>
    </row>
    <row r="15">
      <c r="A15" s="13" t="inlineStr">
        <is>
          <t>Historias de Usuario</t>
        </is>
      </c>
      <c r="B15" s="7" t="inlineStr">
        <is>
          <t>HU-08</t>
        </is>
      </c>
      <c r="C15" s="13" t="inlineStr">
        <is>
          <t>Épica</t>
        </is>
      </c>
      <c r="D15" s="7" t="inlineStr">
        <is>
          <t>E2 — PowerUp e interacción con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Con 20 esferas consumidas.</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Perder una vida.</t>
        </is>
      </c>
      <c r="C21" s="24" t="n"/>
      <c r="D21" s="7" t="inlineStr">
        <is>
          <t>Se descuenta una vida.</t>
        </is>
      </c>
      <c r="E21" s="24" t="n"/>
    </row>
    <row r="22" ht="42.59999999999999" customHeight="1">
      <c r="A22" s="8" t="n">
        <v>2</v>
      </c>
      <c r="B22" s="7" t="inlineStr">
        <is>
          <t>Observar el nivel, el puntaje, las esferas y las posiciones de los personajes.</t>
        </is>
      </c>
      <c r="C22" s="24" t="n"/>
      <c r="D22" s="18" t="inlineStr">
        <is>
          <t>Se reanuda el mismo nivel 1, con el puntaje conservado, las esferas consumidas ausentes y los personajes en sus posiciones iniciales.</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6.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CP-034</t>
        </is>
      </c>
      <c r="C1" s="13" t="inlineStr">
        <is>
          <t>Descripción / Funcionalidad</t>
        </is>
      </c>
      <c r="D1" s="18" t="inlineStr">
        <is>
          <t>HU-09 · Ver la cantidad de vidas restantes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Fallido</t>
        </is>
      </c>
      <c r="K3" s="11" t="inlineStr">
        <is>
          <t>Fallido. Se cumple que no es un número, pero no la ubicación ni el tipo de ícono. Ver DEF-001.</t>
        </is>
      </c>
      <c r="L3" s="11" t="inlineStr">
        <is>
          <t>DEF-001</t>
        </is>
      </c>
    </row>
    <row r="4" ht="55.8" customHeight="1">
      <c r="C4" s="13" t="inlineStr">
        <is>
          <t>Estado en la Entrega 1</t>
        </is>
      </c>
      <c r="D4" s="7" t="inlineStr">
        <is>
          <t>Fallido</t>
        </is>
      </c>
      <c r="E4" s="24" t="n"/>
      <c r="G4" s="9" t="inlineStr">
        <is>
          <t>Ciclo 2</t>
        </is>
      </c>
      <c r="H4" s="40" t="n">
        <v>46307</v>
      </c>
      <c r="I4" s="11" t="inlineStr">
        <is>
          <t>Luzzi</t>
        </is>
      </c>
      <c r="J4" s="11" t="inlineStr">
        <is>
          <t>Aprobado</t>
        </is>
      </c>
      <c r="K4" s="11" t="inlineStr">
        <is>
          <t>Las vidas se muestran abajo a la izquierda, debajo del mapa, como 3 íconos de Pacman (sin número); al perder una vida quedan 2. CP-034: Fallido en Entrega 1 → Aprobado.</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recién iniciada en modo Pacman.</t>
        </is>
      </c>
      <c r="C10" s="24" t="n"/>
      <c r="D10" s="18" t="inlineStr">
        <is>
          <t>Modo de juego:</t>
        </is>
      </c>
      <c r="E10" s="7" t="inlineStr">
        <is>
          <t>Pacman</t>
        </is>
      </c>
    </row>
    <row r="12">
      <c r="A12" s="13" t="inlineStr">
        <is>
          <t>Título del CP</t>
        </is>
      </c>
      <c r="B12" s="34" t="inlineStr">
        <is>
          <t>Presentación del contador de vidas</t>
        </is>
      </c>
      <c r="C12" s="43" t="n"/>
      <c r="D12" s="43" t="n"/>
      <c r="E12" s="44" t="n"/>
    </row>
    <row r="13">
      <c r="A13" s="45" t="n"/>
      <c r="B13" s="46" t="n"/>
      <c r="C13" s="47" t="n"/>
      <c r="D13" s="47" t="n"/>
      <c r="E13" s="48" t="n"/>
    </row>
    <row r="15">
      <c r="A15" s="13" t="inlineStr">
        <is>
          <t>Historias de Usuario</t>
        </is>
      </c>
      <c r="B15" s="7" t="inlineStr">
        <is>
          <t>HU-09</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29.4" customHeight="1">
      <c r="A18" s="13" t="inlineStr">
        <is>
          <t>Mutación (Entrega 2)</t>
        </is>
      </c>
      <c r="B18" s="35" t="inlineStr">
        <is>
          <t>Prueba de confirmación de DEF-001: se repite el caso sin cambios. Además se pierde una vida para ver que se retira un ícono.</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Observar el extremo inferior izquierdo de la pantalla.</t>
        </is>
      </c>
      <c r="C21" s="24" t="n"/>
      <c r="D21" s="18" t="inlineStr">
        <is>
          <t>Se muestran 3 íconos de Pacman como contador de vidas, no un número.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7.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CP-035</t>
        </is>
      </c>
      <c r="C1" s="13" t="inlineStr">
        <is>
          <t>Descripción / Funcionalidad</t>
        </is>
      </c>
      <c r="D1" s="18" t="inlineStr">
        <is>
          <t>HU-09 · Ver la cantidad de vidas restantes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Los íconos evaluados son los círculos amarillos del HUD (ver CP-034 / DEF-001).</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Íconos de vidas tras cada pérdida: 3 → 2 → 1 → 0; el contador se actualizó en el momento de cada pérdida (la tercera terminó en Game Over).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3 vidas.</t>
        </is>
      </c>
      <c r="C10" s="24" t="n"/>
      <c r="D10" s="18" t="inlineStr">
        <is>
          <t>Modo de juego:</t>
        </is>
      </c>
      <c r="E10" s="7" t="inlineStr">
        <is>
          <t>Pacman</t>
        </is>
      </c>
    </row>
    <row r="12">
      <c r="A12" s="13" t="inlineStr">
        <is>
          <t>Título del CP</t>
        </is>
      </c>
      <c r="B12" s="34" t="inlineStr">
        <is>
          <t>Actualización inmediata del contador de vidas</t>
        </is>
      </c>
      <c r="C12" s="43" t="n"/>
      <c r="D12" s="43" t="n"/>
      <c r="E12" s="44" t="n"/>
    </row>
    <row r="13">
      <c r="A13" s="45" t="n"/>
      <c r="B13" s="46" t="n"/>
      <c r="C13" s="47" t="n"/>
      <c r="D13" s="47" t="n"/>
      <c r="E13" s="48" t="n"/>
    </row>
    <row r="15">
      <c r="A15" s="13" t="inlineStr">
        <is>
          <t>Historias de Usuario</t>
        </is>
      </c>
      <c r="B15" s="7" t="inlineStr">
        <is>
          <t>HU-09</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Perder una vida y observar el contador.</t>
        </is>
      </c>
      <c r="C19" s="24" t="n"/>
      <c r="D19" s="7" t="inlineStr">
        <is>
          <t>El contador pasa de 3 a 2 íconos en el momento de la pérdida.</t>
        </is>
      </c>
      <c r="E19" s="24" t="n"/>
    </row>
    <row r="20" ht="29.4" customHeight="1">
      <c r="A20" s="8" t="n">
        <v>2</v>
      </c>
      <c r="B20" s="7" t="inlineStr">
        <is>
          <t>Perder una segunda vida y observar.</t>
        </is>
      </c>
      <c r="C20" s="24" t="n"/>
      <c r="D20" s="7" t="inlineStr">
        <is>
          <t>El contador pasa de 2 a 1 ícono en el momento de la pérdida.</t>
        </is>
      </c>
      <c r="E20" s="24" t="n"/>
    </row>
    <row r="21" ht="42.59999999999999" customHeight="1">
      <c r="A21" s="8" t="n">
        <v>3</v>
      </c>
      <c r="B21" s="7" t="inlineStr">
        <is>
          <t>Perder la tercera y observar.</t>
        </is>
      </c>
      <c r="C21" s="24" t="n"/>
      <c r="D21" s="18" t="inlineStr">
        <is>
          <t>El contador muestra 2 íconos, luego 1, y finalmente ninguno. La actualización ocurre en el momento de cada pérdida.</t>
        </is>
      </c>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8.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CP-036</t>
        </is>
      </c>
      <c r="C1" s="13" t="inlineStr">
        <is>
          <t>Descripción / Funcionalidad</t>
        </is>
      </c>
      <c r="D1" s="18" t="inlineStr">
        <is>
          <t>HU-10 · Terminar la partida al agotar las vidas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Última vida perdida en el nivel 2: se mostró «Game Over» con el puntaje final (0); 5 s después la partida seguía terminada, sin reiniciarse ni reanudarse. (Vidas fijadas en 1 por script.)</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1 vida restante.</t>
        </is>
      </c>
      <c r="C10" s="24" t="n"/>
      <c r="D10" s="18" t="inlineStr">
        <is>
          <t>Modo de juego:</t>
        </is>
      </c>
      <c r="E10" s="7" t="inlineStr">
        <is>
          <t>Pacman</t>
        </is>
      </c>
    </row>
    <row r="12">
      <c r="A12" s="13" t="inlineStr">
        <is>
          <t>Título del CP</t>
        </is>
      </c>
      <c r="B12" s="34" t="inlineStr">
        <is>
          <t>Game Over al perder la tercera vida</t>
        </is>
      </c>
      <c r="C12" s="43" t="n"/>
      <c r="D12" s="43" t="n"/>
      <c r="E12" s="44" t="n"/>
    </row>
    <row r="13">
      <c r="A13" s="45" t="n"/>
      <c r="B13" s="46" t="n"/>
      <c r="C13" s="47" t="n"/>
      <c r="D13" s="47" t="n"/>
      <c r="E13" s="48" t="n"/>
    </row>
    <row r="15">
      <c r="A15" s="13" t="inlineStr">
        <is>
          <t>Historias de Usuario</t>
        </is>
      </c>
      <c r="B15" s="7" t="inlineStr">
        <is>
          <t>HU-10</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Última vida perdida en el nivel 2.</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Perder la última vida.</t>
        </is>
      </c>
      <c r="C21" s="24" t="n"/>
      <c r="D21" s="7" t="inlineStr">
        <is>
          <t>El contador de vidas queda sin íconos.</t>
        </is>
      </c>
      <c r="E21" s="24" t="n"/>
    </row>
    <row r="22" ht="42.59999999999999" customHeight="1">
      <c r="A22" s="8" t="n">
        <v>2</v>
      </c>
      <c r="B22" s="7" t="inlineStr">
        <is>
          <t>Observar la pantalla y esperar 5 segundos.</t>
        </is>
      </c>
      <c r="C22" s="24" t="n"/>
      <c r="D22" s="18" t="inlineStr">
        <is>
          <t>La partida termina, se muestra la pantalla de Game Over con el puntaje final, y el nivel no se reinicia ni se reanuda.</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39.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CP-037</t>
        </is>
      </c>
      <c r="C1" s="13" t="inlineStr">
        <is>
          <t>Descripción / Funcionalidad</t>
        </is>
      </c>
      <c r="D1" s="18" t="inlineStr">
        <is>
          <t>HU-10 · Terminar la partida al agotar las vidas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Niveles 1 a 3 jugados con el piloto automático (envía teclas, no modifica el estado); en N3 se apagó el piloto para perder las vidas.</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Última vida perdida en el nivel 3: pantalla «Game Over» con el puntaje final y «Volver a jugar», igual que en el nivel 1; la partida no se reanudó. (Vidas fijadas en 1 por script.)</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3, 1 vida restante.</t>
        </is>
      </c>
      <c r="C10" s="24" t="n"/>
      <c r="D10" s="18" t="inlineStr">
        <is>
          <t>Modo de juego:</t>
        </is>
      </c>
      <c r="E10" s="7" t="inlineStr">
        <is>
          <t>Pacman</t>
        </is>
      </c>
    </row>
    <row r="12">
      <c r="A12" s="13" t="inlineStr">
        <is>
          <t>Título del CP</t>
        </is>
      </c>
      <c r="B12" s="34" t="inlineStr">
        <is>
          <t>Game Over en un nivel distinto del primero</t>
        </is>
      </c>
      <c r="C12" s="43" t="n"/>
      <c r="D12" s="43" t="n"/>
      <c r="E12" s="44" t="n"/>
    </row>
    <row r="13">
      <c r="A13" s="45" t="n"/>
      <c r="B13" s="46" t="n"/>
      <c r="C13" s="47" t="n"/>
      <c r="D13" s="47" t="n"/>
      <c r="E13" s="48" t="n"/>
    </row>
    <row r="15">
      <c r="A15" s="13" t="inlineStr">
        <is>
          <t>Historias de Usuario</t>
        </is>
      </c>
      <c r="B15" s="7" t="inlineStr">
        <is>
          <t>HU-10</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Perder la última vida.</t>
        </is>
      </c>
      <c r="C19" s="24" t="n"/>
      <c r="D19" s="18" t="inlineStr">
        <is>
          <t>La partida termina con Game Over en el nivel 3, con el mismo comportamiento que en el nivel 1.</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0.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CP-038</t>
        </is>
      </c>
      <c r="C1" s="13" t="inlineStr">
        <is>
          <t>Descripción / Funcionalidad</t>
        </is>
      </c>
      <c r="D1" s="18" t="inlineStr">
        <is>
          <t>HU-11 · Ver el puntaje durante la partida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Se comparó cuadro a cuadro el puntaje interno con el texto del HUD.</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HUD: puntaje inicial 0; después de cada acción [10, 60, 260] (incrementos [10, 50, 200]: esfera común, esfera grande y fantasma).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recién iniciada en modo Pacman.</t>
        </is>
      </c>
      <c r="C10" s="24" t="n"/>
      <c r="D10" s="18" t="inlineStr">
        <is>
          <t>Modo de juego:</t>
        </is>
      </c>
      <c r="E10" s="7" t="inlineStr">
        <is>
          <t>Pacman</t>
        </is>
      </c>
    </row>
    <row r="12">
      <c r="A12" s="13" t="inlineStr">
        <is>
          <t>Título del CP</t>
        </is>
      </c>
      <c r="B12" s="34" t="inlineStr">
        <is>
          <t>Puntaje visible y actualizado en el HUD</t>
        </is>
      </c>
      <c r="C12" s="43" t="n"/>
      <c r="D12" s="43" t="n"/>
      <c r="E12" s="44" t="n"/>
    </row>
    <row r="13">
      <c r="A13" s="45" t="n"/>
      <c r="B13" s="46" t="n"/>
      <c r="C13" s="47" t="n"/>
      <c r="D13" s="47" t="n"/>
      <c r="E13" s="48" t="n"/>
    </row>
    <row r="15">
      <c r="A15" s="13" t="inlineStr">
        <is>
          <t>Historias de Usuario</t>
        </is>
      </c>
      <c r="B15" s="7" t="inlineStr">
        <is>
          <t>HU-11</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16.2" customHeight="1">
      <c r="A19" s="8" t="n">
        <v>1</v>
      </c>
      <c r="B19" s="7" t="inlineStr">
        <is>
          <t>Verificar el puntaje inicial.</t>
        </is>
      </c>
      <c r="C19" s="24" t="n"/>
      <c r="D19" s="7" t="inlineStr">
        <is>
          <t>El HUD muestra puntaje 0.</t>
        </is>
      </c>
      <c r="E19" s="24" t="n"/>
    </row>
    <row r="20" ht="42.59999999999999" customHeight="1">
      <c r="A20" s="8" t="n">
        <v>2</v>
      </c>
      <c r="B20" s="7" t="inlineStr">
        <is>
          <t>Consumir una esfera común, una esfera grande y un fantasma con el PowerUp activo, observando el HUD después de cada acción.</t>
        </is>
      </c>
      <c r="C20" s="24" t="n"/>
      <c r="D20" s="18" t="inlineStr">
        <is>
          <t>El puntaje inicia en 0 y se actualiza de manera inmediata tras cada acción, en +10, +50 y +200 respectivamente.</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1.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CP-039</t>
        </is>
      </c>
      <c r="C1" s="13" t="inlineStr">
        <is>
          <t>Descripción / Funcionalidad</t>
        </is>
      </c>
      <c r="D1" s="18" t="inlineStr">
        <is>
          <t>HU-11 · Ver el puntaje durante la partida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Entre la referencia y la pérdida de vida el puntaje subió porque Pacman siguió comiendo; lo que se verifica es que nunca baja.</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Puntaje 60; tras perder una vida: 60; al completar el nivel 1: 1240; al iniciar el nivel 2: 1240. Nunca disminuyó. (Mapa reducido por script para completar el nivel.)</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con puntaje mayor a 0.</t>
        </is>
      </c>
      <c r="C10" s="24" t="n"/>
      <c r="D10" s="18" t="inlineStr">
        <is>
          <t>Modo de juego:</t>
        </is>
      </c>
      <c r="E10" s="7" t="inlineStr">
        <is>
          <t>Pacman</t>
        </is>
      </c>
    </row>
    <row r="12">
      <c r="A12" s="13" t="inlineStr">
        <is>
          <t>Título del CP</t>
        </is>
      </c>
      <c r="B12" s="34" t="inlineStr">
        <is>
          <t>El puntaje no disminuye ni se reinicia entre niveles</t>
        </is>
      </c>
      <c r="C12" s="43" t="n"/>
      <c r="D12" s="43" t="n"/>
      <c r="E12" s="44" t="n"/>
    </row>
    <row r="13">
      <c r="A13" s="45" t="n"/>
      <c r="B13" s="46" t="n"/>
      <c r="C13" s="47" t="n"/>
      <c r="D13" s="47" t="n"/>
      <c r="E13" s="48" t="n"/>
    </row>
    <row r="15">
      <c r="A15" s="13" t="inlineStr">
        <is>
          <t>Historias de Usuario</t>
        </is>
      </c>
      <c r="B15" s="7" t="inlineStr">
        <is>
          <t>HU-11</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Registrar el puntaje.</t>
        </is>
      </c>
      <c r="C19" s="24" t="n"/>
      <c r="D19" s="7" t="inlineStr">
        <is>
          <t>Puntaje anotado como valor de referencia.</t>
        </is>
      </c>
      <c r="E19" s="24" t="n"/>
    </row>
    <row r="20" ht="16.2" customHeight="1">
      <c r="A20" s="8" t="n">
        <v>2</v>
      </c>
      <c r="B20" s="7" t="inlineStr">
        <is>
          <t>Perder una vida y registrar.</t>
        </is>
      </c>
      <c r="C20" s="24" t="n"/>
      <c r="D20" s="7" t="inlineStr">
        <is>
          <t>El puntaje es igual al anotado en el paso anterior.</t>
        </is>
      </c>
      <c r="E20" s="24" t="n"/>
    </row>
    <row r="21" ht="29.4" customHeight="1">
      <c r="A21" s="8" t="n">
        <v>3</v>
      </c>
      <c r="B21" s="7" t="inlineStr">
        <is>
          <t>Completar el nivel y registrar al inicio del nivel 2.</t>
        </is>
      </c>
      <c r="C21" s="24" t="n"/>
      <c r="D21" s="18" t="inlineStr">
        <is>
          <t>El puntaje no disminuye en ningún momento y se conserva al cambiar de nivel.</t>
        </is>
      </c>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2.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CP-040</t>
        </is>
      </c>
      <c r="C1" s="13" t="inlineStr">
        <is>
          <t>Descripción / Funcionalidad</t>
        </is>
      </c>
      <c r="D1" s="18" t="inlineStr">
        <is>
          <t>HU-12 · Sumar puntos por las frutas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Fruta aparecida en (9,8) en el nivel 3: Pacman la consumió, desapareció del mapa, el puntaje subió +100 y el contador de esferas quedó en 124 → 124. (Esfera de la celda retirada por script para medir solo la fruta.)</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3, con una fruta presente en el mapa.</t>
        </is>
      </c>
      <c r="C10" s="24" t="n"/>
      <c r="D10" s="18" t="inlineStr">
        <is>
          <t>Modo de juego:</t>
        </is>
      </c>
      <c r="E10" s="7" t="inlineStr">
        <is>
          <t>Pacman</t>
        </is>
      </c>
    </row>
    <row r="12">
      <c r="A12" s="13" t="inlineStr">
        <is>
          <t>Título del CP</t>
        </is>
      </c>
      <c r="B12" s="34" t="inlineStr">
        <is>
          <t>Consumo de una fruta</t>
        </is>
      </c>
      <c r="C12" s="43" t="n"/>
      <c r="D12" s="43" t="n"/>
      <c r="E12" s="44" t="n"/>
    </row>
    <row r="13">
      <c r="A13" s="45" t="n"/>
      <c r="B13" s="46" t="n"/>
      <c r="C13" s="47" t="n"/>
      <c r="D13" s="47" t="n"/>
      <c r="E13" s="48" t="n"/>
    </row>
    <row r="15">
      <c r="A15" s="13" t="inlineStr">
        <is>
          <t>Historias de Usuario</t>
        </is>
      </c>
      <c r="B15" s="7" t="inlineStr">
        <is>
          <t>HU-12</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Registrar el puntaje y el contador de esferas restantes.</t>
        </is>
      </c>
      <c r="C19" s="24" t="n"/>
      <c r="D19" s="7" t="inlineStr">
        <is>
          <t>Puntaje y contador de esferas anotados como valores de referencia.</t>
        </is>
      </c>
      <c r="E19" s="24" t="n"/>
    </row>
    <row r="20" ht="16.2" customHeight="1">
      <c r="A20" s="8" t="n">
        <v>2</v>
      </c>
      <c r="B20" s="7" t="inlineStr">
        <is>
          <t>Consumir la fruta.</t>
        </is>
      </c>
      <c r="C20" s="24" t="n"/>
      <c r="D20" s="7" t="inlineStr">
        <is>
          <t>La fruta desaparece del mapa.</t>
        </is>
      </c>
      <c r="E20" s="24" t="n"/>
    </row>
    <row r="21" ht="29.4" customHeight="1">
      <c r="A21" s="8" t="n">
        <v>3</v>
      </c>
      <c r="B21" s="7" t="inlineStr">
        <is>
          <t>Registrar ambos valores.</t>
        </is>
      </c>
      <c r="C21" s="24" t="n"/>
      <c r="D21" s="18" t="inlineStr">
        <is>
          <t>La fruta desaparece, el puntaje aumenta exactamente 100 y el contador de esferas restantes no cambia.</t>
        </is>
      </c>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3.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CP-041</t>
        </is>
      </c>
      <c r="C1" s="13" t="inlineStr">
        <is>
          <t>Descripción / Funcionalidad</t>
        </is>
      </c>
      <c r="D1" s="18" t="inlineStr">
        <is>
          <t>HU-12 · Sumar puntos por las frutas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Según la configuración del juego, las frutas duran 15 s.</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Fruta aparecida en (9,4): a los 14 s seguía en el mapa; a los 16 s ya no estaba.</t>
        </is>
      </c>
      <c r="L4" s="11" t="n"/>
    </row>
    <row r="5" ht="30" customHeight="1">
      <c r="A5" s="13" t="inlineStr">
        <is>
          <t>Prioridad (Alta, Media, Baja)</t>
        </is>
      </c>
      <c r="B5" s="18" t="inlineStr">
        <is>
          <t>Baja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3, con una fruta que acaba de aparecer.</t>
        </is>
      </c>
      <c r="C10" s="24" t="n"/>
      <c r="D10" s="18" t="inlineStr">
        <is>
          <t>Modo de juego:</t>
        </is>
      </c>
      <c r="E10" s="7" t="inlineStr">
        <is>
          <t>Pacman</t>
        </is>
      </c>
    </row>
    <row r="12">
      <c r="A12" s="13" t="inlineStr">
        <is>
          <t>Título del CP</t>
        </is>
      </c>
      <c r="B12" s="34" t="inlineStr">
        <is>
          <t>Desaparición de una fruta no consumida</t>
        </is>
      </c>
      <c r="C12" s="43" t="n"/>
      <c r="D12" s="43" t="n"/>
      <c r="E12" s="44" t="n"/>
    </row>
    <row r="13">
      <c r="A13" s="45" t="n"/>
      <c r="B13" s="46" t="n"/>
      <c r="C13" s="47" t="n"/>
      <c r="D13" s="47" t="n"/>
      <c r="E13" s="48" t="n"/>
    </row>
    <row r="15">
      <c r="A15" s="13" t="inlineStr">
        <is>
          <t>Historias de Usuario</t>
        </is>
      </c>
      <c r="B15" s="7" t="inlineStr">
        <is>
          <t>HU-12</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Cronometrar desde la aparición de la fruta sin consumirla.</t>
        </is>
      </c>
      <c r="C19" s="24" t="n"/>
      <c r="D19" s="7" t="inlineStr">
        <is>
          <t>Cronómetro iniciado en el instante en que aparece la fruta.</t>
        </is>
      </c>
      <c r="E19" s="24" t="n"/>
    </row>
    <row r="20" ht="29.4" customHeight="1">
      <c r="A20" s="8" t="n">
        <v>2</v>
      </c>
      <c r="B20" s="7" t="inlineStr">
        <is>
          <t>Observar el mapa a los 14 segundos y a los 16 segundos.</t>
        </is>
      </c>
      <c r="C20" s="24" t="n"/>
      <c r="D20" s="18" t="inlineStr">
        <is>
          <t>A los 14 segundos la fruta sigue en el mapa; a los 16 segundos ya no está.</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4.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CP-042</t>
        </is>
      </c>
      <c r="C1" s="13" t="inlineStr">
        <is>
          <t>Descripción / Funcionalidad</t>
        </is>
      </c>
      <c r="D1" s="18" t="inlineStr">
        <is>
          <t>HU-13 · Conocer el puntaje final desglosado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Nivel jugado con el piloto automático.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1 completado en 3.68 s: bonus por tiempo 1160 = 10 × 116 s enteros restantes (fracción descartada); el desglose lo suma. (Mapa reducido a una esfera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Cálculo del bonus por tiempo</t>
        </is>
      </c>
      <c r="C12" s="43" t="n"/>
      <c r="D12" s="43" t="n"/>
      <c r="E12" s="44" t="n"/>
    </row>
    <row r="13">
      <c r="A13" s="45" t="n"/>
      <c r="B13" s="46" t="n"/>
      <c r="C13" s="47" t="n"/>
      <c r="D13" s="47" t="n"/>
      <c r="E13" s="48" t="n"/>
    </row>
    <row r="15">
      <c r="A15" s="13" t="inlineStr">
        <is>
          <t>Historias de Usuario</t>
        </is>
      </c>
      <c r="B15" s="7" t="inlineStr">
        <is>
          <t>HU-13</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Completar el nivel 1 en menos de 120 segundos, registrando el tiempo empleado.</t>
        </is>
      </c>
      <c r="C19" s="24" t="n"/>
      <c r="D19" s="7" t="inlineStr">
        <is>
          <t>Nivel completado y tiempo empleado anotado.</t>
        </is>
      </c>
      <c r="E19" s="24" t="n"/>
    </row>
    <row r="20" ht="69" customHeight="1">
      <c r="A20" s="8" t="n">
        <v>2</v>
      </c>
      <c r="B20" s="7" t="inlineStr">
        <is>
          <t>Verificar el bonus por tiempo en el desglose.</t>
        </is>
      </c>
      <c r="C20" s="24" t="n"/>
      <c r="D20" s="18" t="inlineStr">
        <is>
          <t>El bonus por tiempo es igual a 10 multiplicado por los segundos **enteros** restantes respecto de los 120 segundos objetivo, descartando la fracción. Por ejemplo, un tiempo de 100,5 s deja 19 s y da un bonus de 190 (sección 4.2).</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5.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CP-043</t>
        </is>
      </c>
      <c r="C1" s="13" t="inlineStr">
        <is>
          <t>Descripción / Funcionalidad</t>
        </is>
      </c>
      <c r="D1" s="18" t="inlineStr">
        <is>
          <t>HU-13 · Conocer el puntaje final desglosado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Para superar los 120 s el piloto reservó las esferas grandes como recurso de emergencia; llegó al final con 1 vida.</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1 completado a los 121.75 s (más de 120 s reales de juego): bonus por tiempo 0, no negativo. (Mapa reducido a una esfera por script al final.)</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Bonus por tiempo al exceder el tiempo objetivo</t>
        </is>
      </c>
      <c r="C12" s="43" t="n"/>
      <c r="D12" s="43" t="n"/>
      <c r="E12" s="44" t="n"/>
    </row>
    <row r="13">
      <c r="A13" s="45" t="n"/>
      <c r="B13" s="46" t="n"/>
      <c r="C13" s="47" t="n"/>
      <c r="D13" s="47" t="n"/>
      <c r="E13" s="48" t="n"/>
    </row>
    <row r="15">
      <c r="A15" s="13" t="inlineStr">
        <is>
          <t>Historias de Usuario</t>
        </is>
      </c>
      <c r="B15" s="7" t="inlineStr">
        <is>
          <t>HU-13</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Completar el nivel 1 en más de 120 segundos.</t>
        </is>
      </c>
      <c r="C19" s="24" t="n"/>
      <c r="D19" s="7" t="inlineStr">
        <is>
          <t>Nivel completado después de los 120 segundos.</t>
        </is>
      </c>
      <c r="E19" s="24" t="n"/>
    </row>
    <row r="20" ht="29.4" customHeight="1">
      <c r="A20" s="8" t="n">
        <v>2</v>
      </c>
      <c r="B20" s="7" t="inlineStr">
        <is>
          <t>Verificar el bonus por tiempo.</t>
        </is>
      </c>
      <c r="C20" s="24" t="n"/>
      <c r="D20" s="18" t="inlineStr">
        <is>
          <t>El bonus por tiempo es 0 y en ningún caso un valor negativo.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6.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CP-044</t>
        </is>
      </c>
      <c r="C1" s="13" t="inlineStr">
        <is>
          <t>Descripción / Funcionalidad</t>
        </is>
      </c>
      <c r="D1" s="18" t="inlineStr">
        <is>
          <t>HU-13 · Conocer el puntaje final desglosado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Evidencia tomada de la victoria de CP-017 (mismo ciclo y misma versión), que cumple el prerrequisito de 2 vidas.</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Victoria con 2 vidas: desglose {'Esferas': '30', 'Fantasmas comidos': '0', 'Frutas': '0', 'Bonus por tiempo': '4470', 'Bonus por vidas': '1000', 'Total': '5500'}; bonus por vidas 1000 (500 × 2) y la suma de los componentes coincide con el total. (Vidas fijadas en 2 y mapas reducidos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completada en victoria con 2 vidas restantes.</t>
        </is>
      </c>
      <c r="C10" s="24" t="n"/>
      <c r="D10" s="18" t="inlineStr">
        <is>
          <t>Modo de juego:</t>
        </is>
      </c>
      <c r="E10" s="7" t="inlineStr">
        <is>
          <t>Pacman</t>
        </is>
      </c>
    </row>
    <row r="12">
      <c r="A12" s="13" t="inlineStr">
        <is>
          <t>Título del CP</t>
        </is>
      </c>
      <c r="B12" s="34" t="inlineStr">
        <is>
          <t>Bonus por vidas restantes y consistencia del desglose</t>
        </is>
      </c>
      <c r="C12" s="43" t="n"/>
      <c r="D12" s="43" t="n"/>
      <c r="E12" s="44" t="n"/>
    </row>
    <row r="13">
      <c r="A13" s="45" t="n"/>
      <c r="B13" s="46" t="n"/>
      <c r="C13" s="47" t="n"/>
      <c r="D13" s="47" t="n"/>
      <c r="E13" s="48" t="n"/>
    </row>
    <row r="15">
      <c r="A15" s="13" t="inlineStr">
        <is>
          <t>Historias de Usuario</t>
        </is>
      </c>
      <c r="B15" s="7" t="inlineStr">
        <is>
          <t>HU-13</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Registrar cada componente del desglose y el total.</t>
        </is>
      </c>
      <c r="C19" s="24" t="n"/>
      <c r="D19" s="7" t="inlineStr">
        <is>
          <t>Componentes del desglose y total anotados.</t>
        </is>
      </c>
      <c r="E19" s="24" t="n"/>
    </row>
    <row r="20" ht="42.59999999999999" customHeight="1">
      <c r="A20" s="8" t="n">
        <v>2</v>
      </c>
      <c r="B20" s="7" t="inlineStr">
        <is>
          <t>Sumar los componentes manualmente.</t>
        </is>
      </c>
      <c r="C20" s="24" t="n"/>
      <c r="D20" s="18" t="inlineStr">
        <is>
          <t>El bonus por vidas es de 1000 puntos (500 por cada una de las 2 vidas) y la suma de todos los componentes coincide exactamente con el total mostrado.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7.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CP-045</t>
        </is>
      </c>
      <c r="C1" s="13" t="inlineStr">
        <is>
          <t>Descripción / Funcionalidad</t>
        </is>
      </c>
      <c r="D1" s="18" t="inlineStr">
        <is>
          <t>HU-13 · Conocer el puntaje final desglosado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Game Over: desglose {'Esferas': '0', 'Fantasmas comidos': '0', 'Frutas': '0', 'Bonus por tiempo': '0', 'Bonus por vidas': '0', 'Total': '0'}; bonus por vidas restantes 0. (Vidas fijadas en 1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terminada en Game Over.</t>
        </is>
      </c>
      <c r="C10" s="24" t="n"/>
      <c r="D10" s="18" t="inlineStr">
        <is>
          <t>Modo de juego:</t>
        </is>
      </c>
      <c r="E10" s="7" t="inlineStr">
        <is>
          <t>Pacman</t>
        </is>
      </c>
    </row>
    <row r="12">
      <c r="A12" s="13" t="inlineStr">
        <is>
          <t>Título del CP</t>
        </is>
      </c>
      <c r="B12" s="34" t="inlineStr">
        <is>
          <t>Bonus por vidas en un Game Over</t>
        </is>
      </c>
      <c r="C12" s="43" t="n"/>
      <c r="D12" s="43" t="n"/>
      <c r="E12" s="44" t="n"/>
    </row>
    <row r="13">
      <c r="A13" s="45" t="n"/>
      <c r="B13" s="46" t="n"/>
      <c r="C13" s="47" t="n"/>
      <c r="D13" s="47" t="n"/>
      <c r="E13" s="48" t="n"/>
    </row>
    <row r="15">
      <c r="A15" s="13" t="inlineStr">
        <is>
          <t>Historias de Usuario</t>
        </is>
      </c>
      <c r="B15" s="7" t="inlineStr">
        <is>
          <t>HU-13</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Verificar el bonus por vidas restantes en el desglose.</t>
        </is>
      </c>
      <c r="C19" s="24" t="n"/>
      <c r="D19" s="18" t="inlineStr">
        <is>
          <t>El bonus por vidas restantes es 0.</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8.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CP-046</t>
        </is>
      </c>
      <c r="C1" s="13" t="inlineStr">
        <is>
          <t>Descripción / Funcionalidad</t>
        </is>
      </c>
      <c r="D1" s="18" t="inlineStr">
        <is>
          <t>HU-14 · Ver el progreso de esferas del nivel</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Contador comparado cuadro a cuadro contra el conteo del mapa; también se contaron los puntos dibujados en el canvas. Partida jugada con el piloto automático.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Inicio: contador 106 = 106 esferas del mapa (incluidas las 4 grandes); tras 5 esferas: 100 (−5); al consumir la última: 0; nivel 2: 131 = 131 esferas de su mapa. (Para la parte final, mapa del nivel 1 reducido a una esfera por script.)</t>
        </is>
      </c>
      <c r="L4" s="11" t="n"/>
    </row>
    <row r="5" ht="30" customHeight="1">
      <c r="A5" s="13" t="inlineStr">
        <is>
          <t>Prioridad (Alta, Media, Baja)</t>
        </is>
      </c>
      <c r="B5" s="18" t="inlineStr">
        <is>
          <t>Baja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recién iniciada en modo Pacman.</t>
        </is>
      </c>
      <c r="C10" s="24" t="n"/>
      <c r="D10" s="18" t="inlineStr">
        <is>
          <t>Modo de juego:</t>
        </is>
      </c>
      <c r="E10" s="7" t="inlineStr">
        <is>
          <t>Pacman</t>
        </is>
      </c>
    </row>
    <row r="12">
      <c r="A12" s="13" t="inlineStr">
        <is>
          <t>Título del CP</t>
        </is>
      </c>
      <c r="B12" s="34" t="inlineStr">
        <is>
          <t>Contador de esferas restantes</t>
        </is>
      </c>
      <c r="C12" s="43" t="n"/>
      <c r="D12" s="43" t="n"/>
      <c r="E12" s="44" t="n"/>
    </row>
    <row r="13">
      <c r="A13" s="45" t="n"/>
      <c r="B13" s="46" t="n"/>
      <c r="C13" s="47" t="n"/>
      <c r="D13" s="47" t="n"/>
      <c r="E13" s="48" t="n"/>
    </row>
    <row r="15">
      <c r="A15" s="13" t="inlineStr">
        <is>
          <t>Historias de Usuario</t>
        </is>
      </c>
      <c r="B15" s="7" t="inlineStr">
        <is>
          <t>HU-14</t>
        </is>
      </c>
      <c r="C15" s="13" t="inlineStr">
        <is>
          <t>Épica</t>
        </is>
      </c>
      <c r="D15" s="7" t="inlineStr">
        <is>
          <t>E3 — Vidas, puntaje y fin de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Registrar el valor inicial del contador y contar las esferas del mapa, incluidas las grandes.</t>
        </is>
      </c>
      <c r="C19" s="24" t="n"/>
      <c r="D19" s="7" t="inlineStr">
        <is>
          <t>El valor inicial coincide con el total de esferas contadas, incluidas las grandes.</t>
        </is>
      </c>
      <c r="E19" s="24" t="n"/>
    </row>
    <row r="20" ht="16.2" customHeight="1">
      <c r="A20" s="8" t="n">
        <v>2</v>
      </c>
      <c r="B20" s="7" t="inlineStr">
        <is>
          <t>Consumir 5 esferas y verificar el contador.</t>
        </is>
      </c>
      <c r="C20" s="24" t="n"/>
      <c r="D20" s="7" t="inlineStr">
        <is>
          <t>El contador disminuyó exactamente 5.</t>
        </is>
      </c>
      <c r="E20" s="24" t="n"/>
    </row>
    <row r="21" ht="29.4" customHeight="1">
      <c r="A21" s="8" t="n">
        <v>3</v>
      </c>
      <c r="B21" s="7" t="inlineStr">
        <is>
          <t>Completar el nivel y verificar el contador al llegar a la última esfera.</t>
        </is>
      </c>
      <c r="C21" s="24" t="n"/>
      <c r="D21" s="7" t="inlineStr">
        <is>
          <t>El contador llega a 0 al consumir la última esfera.</t>
        </is>
      </c>
      <c r="E21" s="24" t="n"/>
    </row>
    <row r="22" ht="55.8" customHeight="1">
      <c r="A22" s="8" t="n">
        <v>4</v>
      </c>
      <c r="B22" s="7" t="inlineStr">
        <is>
          <t>Verificar el contador al iniciar el nivel 2.</t>
        </is>
      </c>
      <c r="C22" s="24" t="n"/>
      <c r="D22" s="18" t="inlineStr">
        <is>
          <t>El valor inicial coincide con el total de esferas del mapa incluidas las grandes, disminuye en 1 por esfera consumida, llega a 0 exactamente al completarse el nivel, y se reinicia al total del nivel 2.</t>
        </is>
      </c>
      <c r="E22" s="24" t="n"/>
    </row>
    <row r="23" ht="24" customHeight="1">
      <c r="A23" s="21" t="inlineStr">
        <is>
          <t>El caso se aprueba solo si se cumple todo el resultado esperado del último paso (en negrita); si cualquier parte no se cumple, se registra como Fallido.</t>
        </is>
      </c>
    </row>
  </sheetData>
  <mergeCells count="28">
    <mergeCell ref="D20:E20"/>
    <mergeCell ref="B7:C7"/>
    <mergeCell ref="D1:E1"/>
    <mergeCell ref="D19:E19"/>
    <mergeCell ref="B12:E13"/>
    <mergeCell ref="B22:C22"/>
    <mergeCell ref="D22:E22"/>
    <mergeCell ref="B18:C18"/>
    <mergeCell ref="D21:E21"/>
    <mergeCell ref="B21:C21"/>
    <mergeCell ref="D2:E2"/>
    <mergeCell ref="A12:A13"/>
    <mergeCell ref="B8:C8"/>
    <mergeCell ref="A3:B3"/>
    <mergeCell ref="G1:L1"/>
    <mergeCell ref="D16:E16"/>
    <mergeCell ref="D7:E7"/>
    <mergeCell ref="B19:C19"/>
    <mergeCell ref="B10:C10"/>
    <mergeCell ref="D4:E4"/>
    <mergeCell ref="A23:E23"/>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49.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CP-047</t>
        </is>
      </c>
      <c r="C1" s="13" t="inlineStr">
        <is>
          <t>Descripción / Funcionalidad</t>
        </is>
      </c>
      <c r="D1" s="18" t="inlineStr">
        <is>
          <t>HU-15 · Jugar tres niveles con mapas propios</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Colores verificados en capturas y en los píxeles de los muros, y coinciden con la configuración del juego (N1 \#c81e2c / \#38f0e8; N2 \#0b1d4d / \#2f6bff; N3 \#0d4d12 / \#39ff14).</t>
        </is>
      </c>
      <c r="L3" s="11" t="n"/>
    </row>
    <row r="4" ht="108.6"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Niveles 1, 2 y 3 en orden; HUD: ['Nivel 1', 'Nivel 2', 'Nivel 3']. Los tres mapas tienen forma distinta. Color medio de muros: N1 [168, 25, 37] con 148 muestras rojas (franjas), N2 [11, 29, 77] (azul, sin rojo), N3 [14, 78, 18] (verde). Barra inferior de vidas con 3 íconos de Pacman en los tres niveles (DEF-001). (Mapas reducidos por script para avanzar; capturas REG-CP-047-N1..N3.)</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Ninguna.</t>
        </is>
      </c>
      <c r="C10" s="24" t="n"/>
      <c r="D10" s="18" t="inlineStr">
        <is>
          <t>Modo de juego:</t>
        </is>
      </c>
      <c r="E10" s="7" t="inlineStr">
        <is>
          <t>Pacman</t>
        </is>
      </c>
    </row>
    <row r="12">
      <c r="A12" s="13" t="inlineStr">
        <is>
          <t>Título del CP</t>
        </is>
      </c>
      <c r="B12" s="34" t="inlineStr">
        <is>
          <t>Los tres niveles y sus mapas</t>
        </is>
      </c>
      <c r="C12" s="43" t="n"/>
      <c r="D12" s="43" t="n"/>
      <c r="E12" s="44" t="n"/>
    </row>
    <row r="13">
      <c r="A13" s="45" t="n"/>
      <c r="B13" s="46" t="n"/>
      <c r="C13" s="47" t="n"/>
      <c r="D13" s="47" t="n"/>
      <c r="E13" s="48" t="n"/>
    </row>
    <row r="15">
      <c r="A15" s="13" t="inlineStr">
        <is>
          <t>Historias de Usuario</t>
        </is>
      </c>
      <c r="B15" s="7" t="inlineStr">
        <is>
          <t>HU-15</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16.2" customHeight="1">
      <c r="A18" s="13" t="inlineStr">
        <is>
          <t>Mutación (Entrega 2)</t>
        </is>
      </c>
      <c r="B18" s="35" t="inlineStr">
        <is>
          <t>Partida completa; se registra además la barra inferior de vidas (DEF-001).</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Jugar una partida completando los tres niveles.</t>
        </is>
      </c>
      <c r="C21" s="24" t="n"/>
      <c r="D21" s="7" t="inlineStr">
        <is>
          <t>La partida recorre los niveles 1, 2 y 3 en ese orden.</t>
        </is>
      </c>
      <c r="E21" s="24" t="n"/>
    </row>
    <row r="22" ht="95.39999999999999" customHeight="1">
      <c r="A22" s="8" t="n">
        <v>2</v>
      </c>
      <c r="B22" s="7" t="inlineStr">
        <is>
          <t>Registrar la forma y la paleta de cada mapa, y el número de nivel del HUD.</t>
        </is>
      </c>
      <c r="C22" s="24" t="n"/>
      <c r="D22" s="18" t="inlineStr">
        <is>
          <t>Los niveles se juegan en orden 1, 2, 3; cada mapa tiene forma propia distinta de la de los otros dos; el nivel 1 es negro con franjas rojas y contorno celeste, el 2 azul sobre negro con contorno azul y sin franjas, el 3 verde brillante; los caminos están marcados con puntos blancos en los tres; el HUD indica el nivel en curso.</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0.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CP-048</t>
        </is>
      </c>
      <c r="C1" s="13" t="inlineStr">
        <is>
          <t>Descripción / Funcionalidad</t>
        </is>
      </c>
      <c r="D1" s="18" t="inlineStr">
        <is>
          <t>HU-15 · Jugar tres niveles con mapas propios</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Coincide además con el mapa usado en CP-010.</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Dos partidas nuevas: el mapa del nivel 1 es idéntico en forma, esferas y ubicación de las esferas grandes.</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Una partida jugada, con el mapa del nivel 1 registrado.</t>
        </is>
      </c>
      <c r="C10" s="24" t="n"/>
      <c r="D10" s="18" t="inlineStr">
        <is>
          <t>Modo de juego:</t>
        </is>
      </c>
      <c r="E10" s="7" t="inlineStr">
        <is>
          <t>Pacman</t>
        </is>
      </c>
    </row>
    <row r="12">
      <c r="A12" s="13" t="inlineStr">
        <is>
          <t>Título del CP</t>
        </is>
      </c>
      <c r="B12" s="34" t="inlineStr">
        <is>
          <t>Los mapas no varían entre partidas</t>
        </is>
      </c>
      <c r="C12" s="43" t="n"/>
      <c r="D12" s="43" t="n"/>
      <c r="E12" s="44" t="n"/>
    </row>
    <row r="13">
      <c r="A13" s="45" t="n"/>
      <c r="B13" s="46" t="n"/>
      <c r="C13" s="47" t="n"/>
      <c r="D13" s="47" t="n"/>
      <c r="E13" s="48" t="n"/>
    </row>
    <row r="15">
      <c r="A15" s="13" t="inlineStr">
        <is>
          <t>Historias de Usuario</t>
        </is>
      </c>
      <c r="B15" s="7" t="inlineStr">
        <is>
          <t>HU-15</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Iniciar una partida nueva.</t>
        </is>
      </c>
      <c r="C19" s="24" t="n"/>
      <c r="D19" s="7" t="inlineStr">
        <is>
          <t>Se inicia una partida nueva en el nivel 1.</t>
        </is>
      </c>
      <c r="E19" s="24" t="n"/>
    </row>
    <row r="20" ht="42.59999999999999" customHeight="1">
      <c r="A20" s="8" t="n">
        <v>2</v>
      </c>
      <c r="B20" s="7" t="inlineStr">
        <is>
          <t>Comparar el mapa del nivel 1 con el registrado.</t>
        </is>
      </c>
      <c r="C20" s="24" t="n"/>
      <c r="D20" s="18" t="inlineStr">
        <is>
          <t>El mapa del nivel 1 es idéntico al de la partida anterior, en forma, distribución de esferas y ubicación de las esferas grandes.</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1.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CP-049</t>
        </is>
      </c>
      <c r="C1" s="13" t="inlineStr">
        <is>
          <t>Descripción / Funcionalidad</t>
        </is>
      </c>
      <c r="D1" s="18" t="inlineStr">
        <is>
          <t>HU-16 · Enfrentar solo fantasmas clásicos en el nivel 1</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 1 observado 40 s (30 s más que en la V1): tipos ['classic'], velocidades [5] celdas/s; ninguno atravesó muros, saltó, colocó frutas ni hizo dash. (Vidas repuestas por script.)</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v>46323</v>
      </c>
      <c r="I5" s="11" t="inlineStr">
        <is>
          <t>Luzzi</t>
        </is>
      </c>
      <c r="J5" s="11" t="inlineStr">
        <is>
          <t>Aprobado</t>
        </is>
      </c>
      <c r="K5" s="11" t="inlineStr">
        <is>
          <t>Nivel 1 observado 40 s (30 s más que en la V1): tipos ['classic'], velocidades [3.1875] celdas/s; ninguno atravesó muros, saltó, colocó frutas ni hizo dash. (Vidas repuestas por script.) Ciclo 3: build con las decisiones 39 y 40 (velocidad −25 % y fantasmas del modo Pacman −15 %).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Solo fantasmas clásicos en el nivel 1</t>
        </is>
      </c>
      <c r="C12" s="43" t="n"/>
      <c r="D12" s="43" t="n"/>
      <c r="E12" s="44" t="n"/>
    </row>
    <row r="13">
      <c r="A13" s="45" t="n"/>
      <c r="B13" s="46" t="n"/>
      <c r="C13" s="47" t="n"/>
      <c r="D13" s="47" t="n"/>
      <c r="E13" s="48" t="n"/>
    </row>
    <row r="15">
      <c r="A15" s="13" t="inlineStr">
        <is>
          <t>Historias de Usuario</t>
        </is>
      </c>
      <c r="B15" s="7" t="inlineStr">
        <is>
          <t>HU-16</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Se agregan 30 s más de observación.</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Observar los cuatro fantasmas durante todo el nivel 1.</t>
        </is>
      </c>
      <c r="C21" s="24" t="n"/>
      <c r="D21" s="7" t="inlineStr">
        <is>
          <t>Durante el nivel 1 se observan los cuatro fantasmas.</t>
        </is>
      </c>
      <c r="E21" s="24" t="n"/>
    </row>
    <row r="22" ht="55.8" customHeight="1">
      <c r="A22" s="8" t="n">
        <v>2</v>
      </c>
      <c r="B22" s="7" t="inlineStr">
        <is>
          <t>Comparar sus velocidades de desplazamiento.</t>
        </is>
      </c>
      <c r="C22" s="24" t="n"/>
      <c r="D22" s="18" t="inlineStr">
        <is>
          <t>Los cuatro fantasmas son clásicos, ninguno atraviesa muros, se teletransporta, coloca frutas falsas ni ejecuta un dash, y los cuatro se desplazan a la misma velocidad.</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2.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CP-050</t>
        </is>
      </c>
      <c r="C1" s="13" t="inlineStr">
        <is>
          <t>Descripción / Funcionalidad</t>
        </is>
      </c>
      <c r="D1" s="18" t="inlineStr">
        <is>
          <t>HU-16 · Enfrentar solo fantasmas clásicos en el nivel 1</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 1: 6 fantasmas comidos; reaparecieron como ['classic', 'classic', 'classic', 'classic', 'classic', 'classic']. (PowerUp prolongado y reaparición acelerada por script.)</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Reaparición como clásico en el nivel 1</t>
        </is>
      </c>
      <c r="C12" s="43" t="n"/>
      <c r="D12" s="43" t="n"/>
      <c r="E12" s="44" t="n"/>
    </row>
    <row r="13">
      <c r="A13" s="45" t="n"/>
      <c r="B13" s="46" t="n"/>
      <c r="C13" s="47" t="n"/>
      <c r="D13" s="47" t="n"/>
      <c r="E13" s="48" t="n"/>
    </row>
    <row r="15">
      <c r="A15" s="13" t="inlineStr">
        <is>
          <t>Historias de Usuario</t>
        </is>
      </c>
      <c r="B15" s="7" t="inlineStr">
        <is>
          <t>HU-16</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6 fantasmas comidos en lugar de 4.</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Comer al menos 4 fantasmas a lo largo del nivel 1.</t>
        </is>
      </c>
      <c r="C21" s="24" t="n"/>
      <c r="D21" s="7" t="inlineStr">
        <is>
          <t>Cada fantasma comido desaparece del mapa y reaparece a los 5 segundos.</t>
        </is>
      </c>
      <c r="E21" s="24" t="n"/>
    </row>
    <row r="22" ht="29.4" customHeight="1">
      <c r="A22" s="8" t="n">
        <v>2</v>
      </c>
      <c r="B22" s="7" t="inlineStr">
        <is>
          <t>Observar el tipo de cada fantasma que reaparece.</t>
        </is>
      </c>
      <c r="C22" s="24" t="n"/>
      <c r="D22" s="18" t="inlineStr">
        <is>
          <t>Todos los fantasmas reaparecen como clásicos, sin excepción.</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3.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CP-051</t>
        </is>
      </c>
      <c r="C1" s="13" t="inlineStr">
        <is>
          <t>Descripción / Funcionalidad</t>
        </is>
      </c>
      <c r="D1" s="18" t="inlineStr">
        <is>
          <t>HU-17 · Enfrentar fantasmas con poderes a partir del nivel 2</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55.8"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 1 completado con 2 vidas; al iniciar el nivel 2 los cuatro fantasmas son ['classic', 'classic', 'classic', 'classic']. (Mapa reducido por script.)</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Nivel 2 recién iniciado.</t>
        </is>
      </c>
      <c r="C10" s="24" t="n"/>
      <c r="D10" s="18" t="inlineStr">
        <is>
          <t>Modo de juego:</t>
        </is>
      </c>
      <c r="E10" s="7" t="inlineStr">
        <is>
          <t>Pacman</t>
        </is>
      </c>
    </row>
    <row r="12">
      <c r="A12" s="13" t="inlineStr">
        <is>
          <t>Título del CP</t>
        </is>
      </c>
      <c r="B12" s="34" t="inlineStr">
        <is>
          <t>Composición inicial de fantasmas del nivel 2</t>
        </is>
      </c>
      <c r="C12" s="43" t="n"/>
      <c r="D12" s="43" t="n"/>
      <c r="E12" s="44" t="n"/>
    </row>
    <row r="13">
      <c r="A13" s="45" t="n"/>
      <c r="B13" s="46" t="n"/>
      <c r="C13" s="47" t="n"/>
      <c r="D13" s="47" t="n"/>
      <c r="E13" s="48" t="n"/>
    </row>
    <row r="15">
      <c r="A15" s="13" t="inlineStr">
        <is>
          <t>Historias de Usuario</t>
        </is>
      </c>
      <c r="B15" s="7" t="inlineStr">
        <is>
          <t>HU-17</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Sin cambios de datos: se verifica tras completar el nivel 1 con 2 vidas.</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Observar el tipo de los cuatro fantasmas al comenzar el nivel.</t>
        </is>
      </c>
      <c r="C21" s="24" t="n"/>
      <c r="D21" s="18" t="inlineStr">
        <is>
          <t>Los cuatro fantasmas son de tipo clásico al inicio del nivel 2.</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4.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CP-052</t>
        </is>
      </c>
      <c r="C1" s="13" t="inlineStr">
        <is>
          <t>Descripción / Funcionalidad</t>
        </is>
      </c>
      <c r="D1" s="18" t="inlineStr">
        <is>
          <t>HU-17 · Enfrentar fantasmas con poderes a partir del nivel 2</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82.1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Las 8+ reapariciones se juntaron entre dos partidas del nivel 2 (5 + 4), porque en ambas se perdieron las vidas antes de completar el nivel. Con 9 muestras la proporción observada (5/9) es consistente con el 50 % configurado (specterRespawnChance = 0,5).</t>
        </is>
      </c>
      <c r="L3" s="11" t="n"/>
    </row>
    <row r="4" ht="82.1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Nivel 2: 24 reapariciones → {'naval': 7, 'classic': 11, 'specter': 3, 'jumper': 1, 'accelerated': 2} (13 con poderes, 54 %). Aparecen clásicos y los cuatro tipos con poderes, distinguibles a la vista. (PowerUp prolongado y reaparición acelerada por script.)</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2.</t>
        </is>
      </c>
      <c r="C10" s="24" t="n"/>
      <c r="D10" s="18" t="inlineStr">
        <is>
          <t>Modo de juego:</t>
        </is>
      </c>
      <c r="E10" s="7" t="inlineStr">
        <is>
          <t>Pacman</t>
        </is>
      </c>
    </row>
    <row r="12">
      <c r="A12" s="13" t="inlineStr">
        <is>
          <t>Título del CP</t>
        </is>
      </c>
      <c r="B12" s="34" t="inlineStr">
        <is>
          <t>Reaparición con poderes en el nivel 2</t>
        </is>
      </c>
      <c r="C12" s="43" t="n"/>
      <c r="D12" s="43" t="n"/>
      <c r="E12" s="44" t="n"/>
    </row>
    <row r="13">
      <c r="A13" s="45" t="n"/>
      <c r="B13" s="46" t="n"/>
      <c r="C13" s="47" t="n"/>
      <c r="D13" s="47" t="n"/>
      <c r="E13" s="48" t="n"/>
    </row>
    <row r="15">
      <c r="A15" s="13" t="inlineStr">
        <is>
          <t>Historias de Usuario</t>
        </is>
      </c>
      <c r="B15" s="7" t="inlineStr">
        <is>
          <t>HU-17</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29.4" customHeight="1">
      <c r="A18" s="13" t="inlineStr">
        <is>
          <t>Mutación (Entrega 2)</t>
        </is>
      </c>
      <c r="B18" s="35" t="inlineStr">
        <is>
          <t>Resultado esperado ajustado a la decisión 23: las reapariciones con poderes pueden ser de los cuatro tipos. Resultado esperado ajustado en el último paso.</t>
        </is>
      </c>
      <c r="C18" s="23" t="n"/>
      <c r="D18" s="23" t="n"/>
      <c r="E18" s="24" t="n"/>
    </row>
    <row r="20">
      <c r="A20" s="13" t="inlineStr">
        <is>
          <t>Pasos #</t>
        </is>
      </c>
      <c r="B20" s="13" t="inlineStr">
        <is>
          <t>Detalle de pasos</t>
        </is>
      </c>
      <c r="C20" s="24" t="n"/>
      <c r="D20" s="13" t="inlineStr">
        <is>
          <t>Resultado esperado</t>
        </is>
      </c>
      <c r="E20" s="24" t="n"/>
    </row>
    <row r="21" ht="42.59999999999999" customHeight="1">
      <c r="A21" s="8" t="n">
        <v>1</v>
      </c>
      <c r="B21" s="7" t="inlineStr">
        <is>
          <t>Comer al menos 8 fantasmas a lo largo del nivel 2, registrando el tipo de cada reaparición.</t>
        </is>
      </c>
      <c r="C21" s="24" t="n"/>
      <c r="D21" s="18" t="inlineStr">
        <is>
          <t>De las reapariciones, alrededor de la mitad son con poderes, y entre ellas aparecen los cuatro tipos (espectro, saltarín, naval y acelerado).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5.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CP-053</t>
        </is>
      </c>
      <c r="C1" s="13" t="inlineStr">
        <is>
          <t>Descripción / Funcionalidad</t>
        </is>
      </c>
      <c r="D1" s="18" t="inlineStr">
        <is>
          <t>HU-17 · Enfrentar fantasmas con poderes a partir del nivel 2</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42.5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Al iniciar el nivel 3 los fantasmas son ['specter', 'jumper', 'naval', 'accelerated']: uno de cada tipo con poderes.</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Nivel 3 recién iniciado.</t>
        </is>
      </c>
      <c r="C10" s="24" t="n"/>
      <c r="D10" s="18" t="inlineStr">
        <is>
          <t>Modo de juego:</t>
        </is>
      </c>
      <c r="E10" s="7" t="inlineStr">
        <is>
          <t>Pacman</t>
        </is>
      </c>
    </row>
    <row r="12">
      <c r="A12" s="13" t="inlineStr">
        <is>
          <t>Título del CP</t>
        </is>
      </c>
      <c r="B12" s="34" t="inlineStr">
        <is>
          <t>Todos los fantasmas con poderes en el nivel 3</t>
        </is>
      </c>
      <c r="C12" s="43" t="n"/>
      <c r="D12" s="43" t="n"/>
      <c r="E12" s="44" t="n"/>
    </row>
    <row r="13">
      <c r="A13" s="45" t="n"/>
      <c r="B13" s="46" t="n"/>
      <c r="C13" s="47" t="n"/>
      <c r="D13" s="47" t="n"/>
      <c r="E13" s="48" t="n"/>
    </row>
    <row r="15">
      <c r="A15" s="13" t="inlineStr">
        <is>
          <t>Historias de Usuario</t>
        </is>
      </c>
      <c r="B15" s="7" t="inlineStr">
        <is>
          <t>HU-17</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29.4" customHeight="1">
      <c r="A18" s="13" t="inlineStr">
        <is>
          <t>Mutación (Entrega 2)</t>
        </is>
      </c>
      <c r="B18" s="35" t="inlineStr">
        <is>
          <t>Resultado esperado ajustado a la decisión 23: uno de cada tipo con poderes. Resultado esperado ajustado en el último paso.</t>
        </is>
      </c>
      <c r="C18" s="23" t="n"/>
      <c r="D18" s="23" t="n"/>
      <c r="E18" s="24" t="n"/>
    </row>
    <row r="20">
      <c r="A20" s="13" t="inlineStr">
        <is>
          <t>Pasos #</t>
        </is>
      </c>
      <c r="B20" s="13" t="inlineStr">
        <is>
          <t>Detalle de pasos</t>
        </is>
      </c>
      <c r="C20" s="24" t="n"/>
      <c r="D20" s="13" t="inlineStr">
        <is>
          <t>Resultado esperado</t>
        </is>
      </c>
      <c r="E20" s="24" t="n"/>
    </row>
    <row r="21" ht="42.59999999999999" customHeight="1">
      <c r="A21" s="8" t="n">
        <v>1</v>
      </c>
      <c r="B21" s="7" t="inlineStr">
        <is>
          <t>Observar el tipo de los cuatro fantasmas al comenzar el nivel.</t>
        </is>
      </c>
      <c r="C21" s="24" t="n"/>
      <c r="D21" s="18" t="inlineStr">
        <is>
          <t>Los cuatro fantasmas tienen poderes desde el inicio: uno de cada tipo (espectro, saltarín, naval y acelerado).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CP-054</t>
        </is>
      </c>
      <c r="C1" s="13" t="inlineStr">
        <is>
          <t>Descripción / Funcionalidad</t>
        </is>
      </c>
      <c r="D1" s="18" t="inlineStr">
        <is>
          <t>HU-17 · Enfrentar fantasmas con poderes a partir del nivel 2</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diferencia entre 41,5 % y 43 % se explica por la precisión de la medición por cuadro.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2, recorrido de 1 s de cada uno desde la misma celda (11,1): clásico 5.00 celdas/s, espectro 3.50 celdas/s; el espectro tarda 43 % más en recorrer la misma distancia (30 % más lento). (Espectro obtenido forzando reapariciones y fantasmas ubicados por script.)</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v>46323</v>
      </c>
      <c r="I5" s="11" t="inlineStr">
        <is>
          <t>Luzzi</t>
        </is>
      </c>
      <c r="J5" s="11" t="inlineStr">
        <is>
          <t>Aprobado</t>
        </is>
      </c>
      <c r="K5" s="11" t="inlineStr">
        <is>
          <t>Nivel 2, recorrido de 1 s de cada uno desde la misma celda (11,1): clásico 3.19 celdas/s, espectro 2.23 celdas/s; el espectro tarda 43 % más en recorrer la misma distancia (30 % más lento). (Espectro obtenido forzando reapariciones y fantasmas ubicados por script.) Ciclo 3: build con las decisiones 39 y 40 (velocidad −25 % y fantasmas del modo Pacman −15 %).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2 con al menos un espectro y un clásico en el mapa.</t>
        </is>
      </c>
      <c r="C10" s="24" t="n"/>
      <c r="D10" s="18" t="inlineStr">
        <is>
          <t>Modo de juego:</t>
        </is>
      </c>
      <c r="E10" s="7" t="inlineStr">
        <is>
          <t>Pacman</t>
        </is>
      </c>
    </row>
    <row r="12">
      <c r="A12" s="13" t="inlineStr">
        <is>
          <t>Título del CP</t>
        </is>
      </c>
      <c r="B12" s="34" t="inlineStr">
        <is>
          <t>Velocidad reducida del espectro</t>
        </is>
      </c>
      <c r="C12" s="43" t="n"/>
      <c r="D12" s="43" t="n"/>
      <c r="E12" s="44" t="n"/>
    </row>
    <row r="13">
      <c r="A13" s="45" t="n"/>
      <c r="B13" s="46" t="n"/>
      <c r="C13" s="47" t="n"/>
      <c r="D13" s="47" t="n"/>
      <c r="E13" s="48" t="n"/>
    </row>
    <row r="15">
      <c r="A15" s="13" t="inlineStr">
        <is>
          <t>Historias de Usuario</t>
        </is>
      </c>
      <c r="B15" s="7" t="inlineStr">
        <is>
          <t>HU-17</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42.59999999999999" customHeight="1">
      <c r="A19" s="8" t="n">
        <v>1</v>
      </c>
      <c r="B19" s="7" t="inlineStr">
        <is>
          <t>Observar el desplazamiento de un espectro y de un clásico por un tramo recto comparable, midiendo el tiempo de cada uno.</t>
        </is>
      </c>
      <c r="C19" s="24" t="n"/>
      <c r="D19" s="18" t="inlineStr">
        <is>
          <t>El espectro tarda aproximadamente un 43 % más de tiempo en recorrer el mismo tramo, consistente con una velocidad un 30 % menor.</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7.xml><?xml version="1.0" encoding="utf-8"?>
<worksheet xmlns="http://schemas.openxmlformats.org/spreadsheetml/2006/main">
  <sheetPr>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CP-055</t>
        </is>
      </c>
      <c r="C1" s="13" t="inlineStr">
        <is>
          <t>Descripción / Funcionalidad</t>
        </is>
      </c>
      <c r="D1" s="18" t="inlineStr">
        <is>
          <t>HU-18 · Enfrentar al fantasma espectro</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Todos los cruces ocurrieron en modo persecución y con el espectro no vulnerable.</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Espectro observado 60 s en el nivel 3: atravesó paredes 6 veces, cada vez una sola pared (el cruce es de muro + celda de salida; nunca una secuencia de paredes contiguas). (Vidas repuestas y otros fantasmas retirados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3.</t>
        </is>
      </c>
      <c r="C10" s="24" t="n"/>
      <c r="D10" s="18" t="inlineStr">
        <is>
          <t>Modo de juego:</t>
        </is>
      </c>
      <c r="E10" s="7" t="inlineStr">
        <is>
          <t>Pacman</t>
        </is>
      </c>
    </row>
    <row r="12">
      <c r="A12" s="13" t="inlineStr">
        <is>
          <t>Título del CP</t>
        </is>
      </c>
      <c r="B12" s="34" t="inlineStr">
        <is>
          <t>El espectro atraviesa una pared</t>
        </is>
      </c>
      <c r="C12" s="43" t="n"/>
      <c r="D12" s="43" t="n"/>
      <c r="E12" s="44" t="n"/>
    </row>
    <row r="13">
      <c r="A13" s="45" t="n"/>
      <c r="B13" s="46" t="n"/>
      <c r="C13" s="47" t="n"/>
      <c r="D13" s="47" t="n"/>
      <c r="E13" s="48" t="n"/>
    </row>
    <row r="15">
      <c r="A15" s="13" t="inlineStr">
        <is>
          <t>Historias de Usuario</t>
        </is>
      </c>
      <c r="B15" s="7" t="inlineStr">
        <is>
          <t>HU-18</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Precondición ajustada (decisión 23): se identifica al espectro entre los cuatro tipos del nivel 3.</t>
        </is>
      </c>
      <c r="C18" s="23" t="n"/>
      <c r="D18" s="23" t="n"/>
      <c r="E18" s="24" t="n"/>
    </row>
    <row r="20">
      <c r="A20" s="13" t="inlineStr">
        <is>
          <t>Pasos #</t>
        </is>
      </c>
      <c r="B20" s="13" t="inlineStr">
        <is>
          <t>Detalle de pasos</t>
        </is>
      </c>
      <c r="C20" s="24" t="n"/>
      <c r="D20" s="13" t="inlineStr">
        <is>
          <t>Resultado esperado</t>
        </is>
      </c>
      <c r="E20" s="24" t="n"/>
    </row>
    <row r="21" ht="42.59999999999999" customHeight="1">
      <c r="A21" s="8" t="n">
        <v>1</v>
      </c>
      <c r="B21" s="7" t="inlineStr">
        <is>
          <t>Observar el desplazamiento de un espectro durante 60 segundos.</t>
        </is>
      </c>
      <c r="C21" s="24" t="n"/>
      <c r="D21" s="18" t="inlineStr">
        <is>
          <t>El espectro atraviesa paredes, y en cada activación atraviesa una sola pared: no cruza una secuencia de paredes contiguas en un mismo uso.</t>
        </is>
      </c>
      <c r="E21" s="24" t="n"/>
    </row>
    <row r="22" ht="24" customHeight="1">
      <c r="A22" s="21" t="inlineStr">
        <is>
          <t>El caso se aprueba solo si se cumple todo el resultado esperado del último paso (en negrita); si cualquier parte no se cumple, se registra como Fallido.</t>
        </is>
      </c>
    </row>
  </sheetData>
  <mergeCells count="23">
    <mergeCell ref="D20:E20"/>
    <mergeCell ref="B7:C7"/>
    <mergeCell ref="D1:E1"/>
    <mergeCell ref="B12:E13"/>
    <mergeCell ref="D21:E21"/>
    <mergeCell ref="B21:C21"/>
    <mergeCell ref="D2:E2"/>
    <mergeCell ref="A12:A13"/>
    <mergeCell ref="B8:C8"/>
    <mergeCell ref="A3:B3"/>
    <mergeCell ref="G1:L1"/>
    <mergeCell ref="D16:E16"/>
    <mergeCell ref="B18:E18"/>
    <mergeCell ref="D7:E7"/>
    <mergeCell ref="B10:C10"/>
    <mergeCell ref="D4:E4"/>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8.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CP-056</t>
        </is>
      </c>
      <c r="C1" s="13" t="inlineStr">
        <is>
          <t>Descripción / Funcionalidad</t>
        </is>
      </c>
      <c r="D1" s="18" t="inlineStr">
        <is>
          <t>HU-18 · Enfrentar al fantasma espectro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3, 60 s: el espectro empezó a cruzar paredes en t = [2.58, 14.8, 25.7, 35.72, 46.63, 57.55] s; intervalos [12.22, 10.9, 10.02, 10.91, 10.92] s, todos ≥ 10 s. (Vidas repuestas y otros fantasmas retirados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3.</t>
        </is>
      </c>
      <c r="C10" s="24" t="n"/>
      <c r="D10" s="18" t="inlineStr">
        <is>
          <t>Modo de juego:</t>
        </is>
      </c>
      <c r="E10" s="7" t="inlineStr">
        <is>
          <t>Pacman</t>
        </is>
      </c>
    </row>
    <row r="12">
      <c r="A12" s="13" t="inlineStr">
        <is>
          <t>Título del CP</t>
        </is>
      </c>
      <c r="B12" s="34" t="inlineStr">
        <is>
          <t>Cooldown de la habilidad del espectro</t>
        </is>
      </c>
      <c r="C12" s="43" t="n"/>
      <c r="D12" s="43" t="n"/>
      <c r="E12" s="44" t="n"/>
    </row>
    <row r="13">
      <c r="A13" s="45" t="n"/>
      <c r="B13" s="46" t="n"/>
      <c r="C13" s="47" t="n"/>
      <c r="D13" s="47" t="n"/>
      <c r="E13" s="48" t="n"/>
    </row>
    <row r="15">
      <c r="A15" s="13" t="inlineStr">
        <is>
          <t>Historias de Usuario</t>
        </is>
      </c>
      <c r="B15" s="7" t="inlineStr">
        <is>
          <t>HU-18</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Registrar el instante en que un espectro atraviesa una pared.</t>
        </is>
      </c>
      <c r="C19" s="24" t="n"/>
      <c r="D19" s="7" t="inlineStr">
        <is>
          <t>Instante del primer cruce anotado.</t>
        </is>
      </c>
      <c r="E19" s="24" t="n"/>
    </row>
    <row r="20" ht="29.4" customHeight="1">
      <c r="A20" s="8" t="n">
        <v>2</v>
      </c>
      <c r="B20" s="7" t="inlineStr">
        <is>
          <t>Cronometrar hasta la siguiente pared que atraviesa el mismo espectro.</t>
        </is>
      </c>
      <c r="C20" s="24" t="n"/>
      <c r="D20" s="18" t="inlineStr">
        <is>
          <t>Entre dos usos de la habilidad transcurren al menos 10 segundos.</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59.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CP-057</t>
        </is>
      </c>
      <c r="C1" s="13" t="inlineStr">
        <is>
          <t>Descripción / Funcionalidad</t>
        </is>
      </c>
      <c r="D1" s="18" t="inlineStr">
        <is>
          <t>HU-18 · Enfrentar al fantasma espectro</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gracia dura 3 s tras el cruce (noEatTimer = 3 al finalizar cada uno de los 25 cruces).</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Tras atravesar una pared, el contacto dentro de los 3 s no descontó vidas (3 → 3) y el espectro se veía translúcido y punteado (captura); pasados los 3 s el contacto descontó una vida (3 → 2). (Contacto provocado por script.)</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3, sin PowerUp activo, 3 vidas.</t>
        </is>
      </c>
      <c r="C10" s="24" t="n"/>
      <c r="D10" s="18" t="inlineStr">
        <is>
          <t>Modo de juego:</t>
        </is>
      </c>
      <c r="E10" s="7" t="inlineStr">
        <is>
          <t>Pacman</t>
        </is>
      </c>
    </row>
    <row r="12">
      <c r="A12" s="13" t="inlineStr">
        <is>
          <t>Título del CP</t>
        </is>
      </c>
      <c r="B12" s="34" t="inlineStr">
        <is>
          <t>Estado de gracia del espectro tras atravesar un muro</t>
        </is>
      </c>
      <c r="C12" s="43" t="n"/>
      <c r="D12" s="43" t="n"/>
      <c r="E12" s="44" t="n"/>
    </row>
    <row r="13">
      <c r="A13" s="45" t="n"/>
      <c r="B13" s="46" t="n"/>
      <c r="C13" s="47" t="n"/>
      <c r="D13" s="47" t="n"/>
      <c r="E13" s="48" t="n"/>
    </row>
    <row r="15">
      <c r="A15" s="13" t="inlineStr">
        <is>
          <t>Historias de Usuario</t>
        </is>
      </c>
      <c r="B15" s="7" t="inlineStr">
        <is>
          <t>HU-18</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Precondición ajustada (decisión 23): se identifica al espectro entre los cuatro tipos.</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Esperar a que un espectro atraviese una pared.</t>
        </is>
      </c>
      <c r="C21" s="24" t="n"/>
      <c r="D21" s="7" t="inlineStr">
        <is>
          <t>El espectro atraviesa la pared y se muestra con su estado de gracia.</t>
        </is>
      </c>
      <c r="E21" s="24" t="n"/>
    </row>
    <row r="22" ht="29.4" customHeight="1">
      <c r="A22" s="8" t="n">
        <v>2</v>
      </c>
      <c r="B22" s="7" t="inlineStr">
        <is>
          <t>Dirigir a Pacman al contacto con ese espectro dentro de los 3 segundos siguientes.</t>
        </is>
      </c>
      <c r="C22" s="24" t="n"/>
      <c r="D22" s="7" t="inlineStr">
        <is>
          <t>Se produce el contacto dentro de los 3 segundos posteriores al cruce.</t>
        </is>
      </c>
      <c r="E22" s="24" t="n"/>
    </row>
    <row r="23" ht="55.8" customHeight="1">
      <c r="A23" s="8" t="n">
        <v>3</v>
      </c>
      <c r="B23" s="7" t="inlineStr">
        <is>
          <t>Registrar el contador de vidas.</t>
        </is>
      </c>
      <c r="C23" s="24" t="n"/>
      <c r="D23" s="18" t="inlineStr">
        <is>
          <t>El contacto no descuenta vidas, el estado del espectro es visualmente distinguible durante esos 3 segundos, y transcurridos los 3 segundos el contacto vuelve a descontar una vida.</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CP-058</t>
        </is>
      </c>
      <c r="C1" s="13" t="inlineStr">
        <is>
          <t>Descripción / Funcionalidad</t>
        </is>
      </c>
      <c r="D1" s="18" t="inlineStr">
        <is>
          <t>HU-18 · Enfrentar al fantasma espectro</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observación duró 95 s, más que los 90 s requeridos.</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3, 90 s: el espectro cruzó 8 paredes; nunca salió del mapa ni quedó detenido dentro de un muro (0 muestras fuera de lugar). (Vidas repuestas y otros fantasmas retirados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3.</t>
        </is>
      </c>
      <c r="C10" s="24" t="n"/>
      <c r="D10" s="18" t="inlineStr">
        <is>
          <t>Modo de juego:</t>
        </is>
      </c>
      <c r="E10" s="7" t="inlineStr">
        <is>
          <t>Pacman</t>
        </is>
      </c>
    </row>
    <row r="12">
      <c r="A12" s="13" t="inlineStr">
        <is>
          <t>Título del CP</t>
        </is>
      </c>
      <c r="B12" s="34" t="inlineStr">
        <is>
          <t>El espectro no sale del mapa con su habilidad</t>
        </is>
      </c>
      <c r="C12" s="43" t="n"/>
      <c r="D12" s="43" t="n"/>
      <c r="E12" s="44" t="n"/>
    </row>
    <row r="13">
      <c r="A13" s="45" t="n"/>
      <c r="B13" s="46" t="n"/>
      <c r="C13" s="47" t="n"/>
      <c r="D13" s="47" t="n"/>
      <c r="E13" s="48" t="n"/>
    </row>
    <row r="15">
      <c r="A15" s="13" t="inlineStr">
        <is>
          <t>Historias de Usuario</t>
        </is>
      </c>
      <c r="B15" s="7" t="inlineStr">
        <is>
          <t>HU-18</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42.59999999999999" customHeight="1">
      <c r="A19" s="8" t="n">
        <v>1</v>
      </c>
      <c r="B19" s="7" t="inlineStr">
        <is>
          <t>Observar durante 90 segundos el comportamiento de los espectros en los corredores adyacentes al borde del mapa.</t>
        </is>
      </c>
      <c r="C19" s="24" t="n"/>
      <c r="D19" s="18" t="inlineStr">
        <is>
          <t>Ningún espectro sale de los límites del mapa ni queda ubicado dentro de un bloque de muro sin celda transitable de destino.</t>
        </is>
      </c>
      <c r="E19" s="24" t="n"/>
    </row>
    <row r="20" ht="24" customHeight="1">
      <c r="A20" s="21" t="inlineStr">
        <is>
          <t>El caso se aprueba solo si se cumple todo el resultado esperado del último paso (en negrita); si cualquier parte no se cumple, se registra como Fallido.</t>
        </is>
      </c>
    </row>
  </sheetData>
  <mergeCells count="22">
    <mergeCell ref="B7:C7"/>
    <mergeCell ref="D1:E1"/>
    <mergeCell ref="D19:E19"/>
    <mergeCell ref="B12:E13"/>
    <mergeCell ref="B18:C18"/>
    <mergeCell ref="D2:E2"/>
    <mergeCell ref="A12:A13"/>
    <mergeCell ref="B8:C8"/>
    <mergeCell ref="A3:B3"/>
    <mergeCell ref="G1:L1"/>
    <mergeCell ref="D16:E16"/>
    <mergeCell ref="D7:E7"/>
    <mergeCell ref="B19:C19"/>
    <mergeCell ref="B10:C10"/>
    <mergeCell ref="D4:E4"/>
    <mergeCell ref="D18:E18"/>
    <mergeCell ref="B9:C9"/>
    <mergeCell ref="D3:E3"/>
    <mergeCell ref="G6:L7"/>
    <mergeCell ref="A20:E20"/>
    <mergeCell ref="D15:E15"/>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1.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CP-059</t>
        </is>
      </c>
      <c r="C1" s="13" t="inlineStr">
        <is>
          <t>Descripción / Funcionalidad</t>
        </is>
      </c>
      <c r="D1" s="18" t="inlineStr">
        <is>
          <t>HU-18 · Enfrentar al fantasma espectro</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Se comieron dos espectros en el mismo cuadro (van superpuestos, ver CP-020).</t>
        </is>
      </c>
      <c r="L3" s="11" t="n"/>
    </row>
    <row r="4" ht="6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Con la esfera grande el espectro pasó a vulnerable; al comerlo sumó +200 (primer fantasma de la escala) y las vidas quedaron en 3. (Fantasmas retirados y posiciones preparadas por script para aislar la condición.)</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en el nivel 3.</t>
        </is>
      </c>
      <c r="C10" s="24" t="n"/>
      <c r="D10" s="18" t="inlineStr">
        <is>
          <t>Modo de juego:</t>
        </is>
      </c>
      <c r="E10" s="7" t="inlineStr">
        <is>
          <t>Pacman</t>
        </is>
      </c>
    </row>
    <row r="12">
      <c r="A12" s="13" t="inlineStr">
        <is>
          <t>Título del CP</t>
        </is>
      </c>
      <c r="B12" s="34" t="inlineStr">
        <is>
          <t>El espectro es vulnerable durante el PowerUp</t>
        </is>
      </c>
      <c r="C12" s="43" t="n"/>
      <c r="D12" s="43" t="n"/>
      <c r="E12" s="44" t="n"/>
    </row>
    <row r="13">
      <c r="A13" s="45" t="n"/>
      <c r="B13" s="46" t="n"/>
      <c r="C13" s="47" t="n"/>
      <c r="D13" s="47" t="n"/>
      <c r="E13" s="48" t="n"/>
    </row>
    <row r="15">
      <c r="A15" s="13" t="inlineStr">
        <is>
          <t>Historias de Usuario</t>
        </is>
      </c>
      <c r="B15" s="7" t="inlineStr">
        <is>
          <t>HU-18</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ht="16.2" customHeight="1">
      <c r="A18" s="13" t="inlineStr">
        <is>
          <t>Mutación (Entrega 2)</t>
        </is>
      </c>
      <c r="B18" s="35" t="inlineStr">
        <is>
          <t>Precondición ajustada (decisión 23): se identifica al espectro entre los cuatro tipos.</t>
        </is>
      </c>
      <c r="C18" s="23" t="n"/>
      <c r="D18" s="23" t="n"/>
      <c r="E18" s="24" t="n"/>
    </row>
    <row r="20">
      <c r="A20" s="13" t="inlineStr">
        <is>
          <t>Pasos #</t>
        </is>
      </c>
      <c r="B20" s="13" t="inlineStr">
        <is>
          <t>Detalle de pasos</t>
        </is>
      </c>
      <c r="C20" s="24" t="n"/>
      <c r="D20" s="13" t="inlineStr">
        <is>
          <t>Resultado esperado</t>
        </is>
      </c>
      <c r="E20" s="24" t="n"/>
    </row>
    <row r="21" ht="29.4" customHeight="1">
      <c r="A21" s="8" t="n">
        <v>1</v>
      </c>
      <c r="B21" s="7" t="inlineStr">
        <is>
          <t>Consumir una esfera grande.</t>
        </is>
      </c>
      <c r="C21" s="24" t="n"/>
      <c r="D21" s="7" t="inlineStr">
        <is>
          <t>El PowerUp se activa y el espectro cambia a su diseño vulnerable.</t>
        </is>
      </c>
      <c r="E21" s="24" t="n"/>
    </row>
    <row r="22" ht="29.4" customHeight="1">
      <c r="A22" s="8" t="n">
        <v>2</v>
      </c>
      <c r="B22" s="7" t="inlineStr">
        <is>
          <t>Comer un espectro.</t>
        </is>
      </c>
      <c r="C22" s="24" t="n"/>
      <c r="D22" s="7" t="inlineStr">
        <is>
          <t>El espectro es comido y suma los puntos que correspondan en la escala.</t>
        </is>
      </c>
      <c r="E22" s="24" t="n"/>
    </row>
    <row r="23" ht="42.59999999999999" customHeight="1">
      <c r="A23" s="8" t="n">
        <v>3</v>
      </c>
      <c r="B23" s="7" t="inlineStr">
        <is>
          <t>Registrar el puntaje y el contador de vidas.</t>
        </is>
      </c>
      <c r="C23" s="24" t="n"/>
      <c r="D23" s="18" t="inlineStr">
        <is>
          <t>El espectro cambia a estado vulnerable, puede ser comido, suma puntos según la escala vigente y no descuenta vidas.</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2.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CP-060</t>
        </is>
      </c>
      <c r="C1" s="13" t="inlineStr">
        <is>
          <t>Descripción / Funcionalidad</t>
        </is>
      </c>
      <c r="D1" s="18" t="inlineStr">
        <is>
          <t>HU-19 · Cerrar la partida y volver a jugar</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Misma ejecución que CP-036. El botón «Volver a jugar» funcionó en todas las corridas (se usó para reiniciar partidas en CP-009 y CP-013).</t>
        </is>
      </c>
      <c r="L3" s="11" t="n"/>
    </row>
    <row r="4" ht="82.1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Última vida perdida en el nivel 1: pantalla «Game Over» con el puntaje desglosado (Esferas, Fantasmas comidos, Frutas, Bonus por tiempo, Bonus por vidas, Total) y las acciones «Volver a jugar» y «Menú principal»; «Menú principal» llevó al menú. (Vidas fijadas en 1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 1 vida restante.</t>
        </is>
      </c>
      <c r="C10" s="24" t="n"/>
      <c r="D10" s="18" t="inlineStr">
        <is>
          <t>Modo de juego:</t>
        </is>
      </c>
      <c r="E10" s="7" t="inlineStr">
        <is>
          <t>Pacman</t>
        </is>
      </c>
    </row>
    <row r="12">
      <c r="A12" s="13" t="inlineStr">
        <is>
          <t>Título del CP</t>
        </is>
      </c>
      <c r="B12" s="34" t="inlineStr">
        <is>
          <t>Pantalla de Game Over</t>
        </is>
      </c>
      <c r="C12" s="43" t="n"/>
      <c r="D12" s="43" t="n"/>
      <c r="E12" s="44" t="n"/>
    </row>
    <row r="13">
      <c r="A13" s="45" t="n"/>
      <c r="B13" s="46" t="n"/>
      <c r="C13" s="47" t="n"/>
      <c r="D13" s="47" t="n"/>
      <c r="E13" s="48" t="n"/>
    </row>
    <row r="15">
      <c r="A15" s="13" t="inlineStr">
        <is>
          <t>Historias de Usuario</t>
        </is>
      </c>
      <c r="B15" s="7" t="inlineStr">
        <is>
          <t>HU-19</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29.4" customHeight="1">
      <c r="A18" s="13" t="inlineStr">
        <is>
          <t>Mutación (Entrega 2)</t>
        </is>
      </c>
      <c r="B18" s="35" t="inlineStr">
        <is>
          <t>Además se verifica la acción «Menú principal» (decisión 29). Resultado esperado ajustado en el último paso.</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Perder la última vida.</t>
        </is>
      </c>
      <c r="C21" s="24" t="n"/>
      <c r="D21" s="7" t="inlineStr">
        <is>
          <t>El contador de vidas queda sin íconos.</t>
        </is>
      </c>
      <c r="E21" s="24" t="n"/>
    </row>
    <row r="22" ht="42.59999999999999" customHeight="1">
      <c r="A22" s="8" t="n">
        <v>2</v>
      </c>
      <c r="B22" s="7" t="inlineStr">
        <is>
          <t>Observar la pantalla.</t>
        </is>
      </c>
      <c r="C22" s="24" t="n"/>
      <c r="D22" s="18" t="inlineStr">
        <is>
          <t>Se muestra la pantalla de Game Over con el puntaje final desglosado y las acciones «Volver a jugar» y «Menú principal»; «Menú principal» lleva al menú.</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3.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CP-061</t>
        </is>
      </c>
      <c r="C1" s="13" t="inlineStr">
        <is>
          <t>Descripción / Funcionalidad</t>
        </is>
      </c>
      <c r="D1" s="18" t="inlineStr">
        <is>
          <t>HU-19 · Cerrar la partida y volver a jugar</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Detalle menor: detrás de la pantalla de Victoria el HUD quedó congelado mostrando el indicador de PowerUp «✨ 6.1s» que estaba activo al terminar.</t>
        </is>
      </c>
      <c r="L3" s="11" t="n"/>
    </row>
    <row r="4" ht="82.1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Completado el nivel 3: pantalla «¡Victoria!» con el puntaje desglosado (Esferas, Fantasmas comidos, Frutas, Bonus por tiempo, Bonus por vidas, Total) y las acciones «Volver a jugar» y «Menú principal»; «Menú principal» llevó al menú. (Mapa reducido por script.)</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en el nivel 3, próxima a completarse.</t>
        </is>
      </c>
      <c r="C10" s="24" t="n"/>
      <c r="D10" s="18" t="inlineStr">
        <is>
          <t>Modo de juego:</t>
        </is>
      </c>
      <c r="E10" s="7" t="inlineStr">
        <is>
          <t>Pacman</t>
        </is>
      </c>
    </row>
    <row r="12">
      <c r="A12" s="13" t="inlineStr">
        <is>
          <t>Título del CP</t>
        </is>
      </c>
      <c r="B12" s="34" t="inlineStr">
        <is>
          <t>Pantalla de Victoria</t>
        </is>
      </c>
      <c r="C12" s="43" t="n"/>
      <c r="D12" s="43" t="n"/>
      <c r="E12" s="44" t="n"/>
    </row>
    <row r="13">
      <c r="A13" s="45" t="n"/>
      <c r="B13" s="46" t="n"/>
      <c r="C13" s="47" t="n"/>
      <c r="D13" s="47" t="n"/>
      <c r="E13" s="48" t="n"/>
    </row>
    <row r="15">
      <c r="A15" s="13" t="inlineStr">
        <is>
          <t>Historias de Usuario</t>
        </is>
      </c>
      <c r="B15" s="7" t="inlineStr">
        <is>
          <t>HU-19</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29.4" customHeight="1">
      <c r="A18" s="13" t="inlineStr">
        <is>
          <t>Mutación (Entrega 2)</t>
        </is>
      </c>
      <c r="B18" s="35" t="inlineStr">
        <is>
          <t>Además se verifica la acción «Menú principal» (decisión 29). Resultado esperado ajustado en el último paso.</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Completar el nivel 3.</t>
        </is>
      </c>
      <c r="C21" s="24" t="n"/>
      <c r="D21" s="7" t="inlineStr">
        <is>
          <t>Se completa la última esfera del nivel 3.</t>
        </is>
      </c>
      <c r="E21" s="24" t="n"/>
    </row>
    <row r="22" ht="42.59999999999999" customHeight="1">
      <c r="A22" s="8" t="n">
        <v>2</v>
      </c>
      <c r="B22" s="7" t="inlineStr">
        <is>
          <t>Observar la pantalla.</t>
        </is>
      </c>
      <c r="C22" s="24" t="n"/>
      <c r="D22" s="18" t="inlineStr">
        <is>
          <t>Se muestra la pantalla de Victoria con el puntaje final desglosado y las acciones «Volver a jugar» y «Menú principal».</t>
        </is>
      </c>
      <c r="E22" s="24" t="n"/>
    </row>
    <row r="23" ht="24" customHeight="1">
      <c r="A23" s="21" t="inlineStr">
        <is>
          <t>El caso se aprueba solo si se cumple todo el resultado esperado del último paso (en negrita); si cualquier parte no se cumple, se registra como Fallido.</t>
        </is>
      </c>
    </row>
  </sheetData>
  <mergeCells count="25">
    <mergeCell ref="D20:E20"/>
    <mergeCell ref="B7:C7"/>
    <mergeCell ref="D1:E1"/>
    <mergeCell ref="B12:E13"/>
    <mergeCell ref="B22:C22"/>
    <mergeCell ref="D22:E22"/>
    <mergeCell ref="D21:E21"/>
    <mergeCell ref="B21:C21"/>
    <mergeCell ref="D2:E2"/>
    <mergeCell ref="A12:A13"/>
    <mergeCell ref="B8:C8"/>
    <mergeCell ref="A3:B3"/>
    <mergeCell ref="G1:L1"/>
    <mergeCell ref="D16:E16"/>
    <mergeCell ref="B18:E18"/>
    <mergeCell ref="D7:E7"/>
    <mergeCell ref="B10:C10"/>
    <mergeCell ref="D4:E4"/>
    <mergeCell ref="A23:E23"/>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4.xml><?xml version="1.0" encoding="utf-8"?>
<worksheet xmlns="http://schemas.openxmlformats.org/spreadsheetml/2006/main">
  <sheetPr>
    <outlinePr summaryBelow="1" summaryRight="1"/>
    <pageSetUpPr fitToPage="1"/>
  </sheetPr>
  <dimension ref="A1:L24"/>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CP-062</t>
        </is>
      </c>
      <c r="C1" s="13" t="inlineStr">
        <is>
          <t>Descripción / Funcionalidad</t>
        </is>
      </c>
      <c r="D1" s="18" t="inlineStr">
        <is>
          <t>HU-19 · Cerrar la partida y volver a jugar</t>
        </is>
      </c>
      <c r="E1" s="24" t="n"/>
      <c r="G1" s="30" t="inlineStr">
        <is>
          <t>Registro de ejecución</t>
        </is>
      </c>
      <c r="H1" s="23" t="n"/>
      <c r="I1" s="23" t="n"/>
      <c r="J1" s="23" t="n"/>
      <c r="K1" s="23" t="n"/>
      <c r="L1" s="24" t="n"/>
    </row>
    <row r="2">
      <c r="A2" s="13" t="inlineStr">
        <is>
          <t>Creado por</t>
        </is>
      </c>
      <c r="B2" s="18" t="inlineStr">
        <is>
          <t>Cruz, Luzzi (mutación: 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Nivel 1 completado con el piloto automático. Las frutas del nivel 3 se generan desde cero en cada nivel (temporizador en 0 al iniciar).</t>
        </is>
      </c>
      <c r="L3" s="11" t="n"/>
    </row>
    <row r="4" ht="82.19999999999999" customHeight="1">
      <c r="C4" s="13" t="inlineStr">
        <is>
          <t>Estado en la Entrega 1</t>
        </is>
      </c>
      <c r="D4" s="7" t="inlineStr">
        <is>
          <t>Aprobado</t>
        </is>
      </c>
      <c r="E4" s="24" t="n"/>
      <c r="G4" s="9" t="inlineStr">
        <is>
          <t>Ciclo 2</t>
        </is>
      </c>
      <c r="H4" s="40" t="n">
        <v>46307</v>
      </c>
      <c r="I4" s="11" t="inlineStr">
        <is>
          <t>Luzzi</t>
        </is>
      </c>
      <c r="J4" s="11" t="inlineStr">
        <is>
          <t>Aprobado</t>
        </is>
      </c>
      <c r="K4" s="11" t="inlineStr">
        <is>
          <t>Game Over en el nivel 2 con 1200 puntos; «Volver a jugar» inició el modo Pacman en el nivel 1 con 3 vidas, puntaje 0 y 106 esferas (mapa completo); al pasar al nivel 2 su mapa también estaba completo (131 esferas). (Mapas reducidos por script para avanzar.)</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terminada en Game Over en el nivel 3, con puntaje mayor a 0.</t>
        </is>
      </c>
      <c r="C10" s="24" t="n"/>
      <c r="D10" s="18" t="inlineStr">
        <is>
          <t>Modo de juego:</t>
        </is>
      </c>
      <c r="E10" s="7" t="inlineStr">
        <is>
          <t>Pacman</t>
        </is>
      </c>
    </row>
    <row r="12">
      <c r="A12" s="13" t="inlineStr">
        <is>
          <t>Título del CP</t>
        </is>
      </c>
      <c r="B12" s="34" t="inlineStr">
        <is>
          <t>Reinicio completo del estado al volver a jugar</t>
        </is>
      </c>
      <c r="C12" s="43" t="n"/>
      <c r="D12" s="43" t="n"/>
      <c r="E12" s="44" t="n"/>
    </row>
    <row r="13">
      <c r="A13" s="45" t="n"/>
      <c r="B13" s="46" t="n"/>
      <c r="C13" s="47" t="n"/>
      <c r="D13" s="47" t="n"/>
      <c r="E13" s="48" t="n"/>
    </row>
    <row r="15">
      <c r="A15" s="13" t="inlineStr">
        <is>
          <t>Historias de Usuario</t>
        </is>
      </c>
      <c r="B15" s="7" t="inlineStr">
        <is>
          <t>HU-19</t>
        </is>
      </c>
      <c r="C15" s="13" t="inlineStr">
        <is>
          <t>Épica</t>
        </is>
      </c>
      <c r="D15" s="7" t="inlineStr">
        <is>
          <t>E4 — Niveles y progresión de dificultad</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ht="29.4" customHeight="1">
      <c r="A18" s="13" t="inlineStr">
        <is>
          <t>Mutación (Entrega 2)</t>
        </is>
      </c>
      <c r="B18" s="35" t="inlineStr">
        <is>
          <t>Game Over en el nivel 2; se verifica además que «Volver a jugar» mantiene el modo Pacman (decisión 29).</t>
        </is>
      </c>
      <c r="C18" s="23" t="n"/>
      <c r="D18" s="23" t="n"/>
      <c r="E18" s="24" t="n"/>
    </row>
    <row r="20">
      <c r="A20" s="13" t="inlineStr">
        <is>
          <t>Pasos #</t>
        </is>
      </c>
      <c r="B20" s="13" t="inlineStr">
        <is>
          <t>Detalle de pasos</t>
        </is>
      </c>
      <c r="C20" s="24" t="n"/>
      <c r="D20" s="13" t="inlineStr">
        <is>
          <t>Resultado esperado</t>
        </is>
      </c>
      <c r="E20" s="24" t="n"/>
    </row>
    <row r="21" ht="16.2" customHeight="1">
      <c r="A21" s="8" t="n">
        <v>1</v>
      </c>
      <c r="B21" s="7" t="inlineStr">
        <is>
          <t>Usar la acción de volver a jugar.</t>
        </is>
      </c>
      <c r="C21" s="24" t="n"/>
      <c r="D21" s="7" t="inlineStr">
        <is>
          <t>Se inicia una partida nueva.</t>
        </is>
      </c>
      <c r="E21" s="24" t="n"/>
    </row>
    <row r="22" ht="29.4" customHeight="1">
      <c r="A22" s="8" t="n">
        <v>2</v>
      </c>
      <c r="B22" s="7" t="inlineStr">
        <is>
          <t>Verificar nivel, vidas, puntaje y estado de los mapas.</t>
        </is>
      </c>
      <c r="C22" s="24" t="n"/>
      <c r="D22" s="7" t="inlineStr">
        <is>
          <t>Nivel 1, 3 vidas, puntaje 0 y el mapa completo con todas sus esferas.</t>
        </is>
      </c>
      <c r="E22" s="24" t="n"/>
    </row>
    <row r="23" ht="42.59999999999999" customHeight="1">
      <c r="A23" s="8" t="n">
        <v>3</v>
      </c>
      <c r="B23" s="7" t="inlineStr">
        <is>
          <t>Completar el nivel 1 y verificar el mapa del nivel 2.</t>
        </is>
      </c>
      <c r="C23" s="24" t="n"/>
      <c r="D23" s="18" t="inlineStr">
        <is>
          <t>La partida nueva inicia en el nivel 1 con 3 vidas y puntaje 0, con todas las esferas y frutas restablecidas en el nivel 1 y también en los niveles siguientes.</t>
        </is>
      </c>
      <c r="E23" s="24" t="n"/>
    </row>
    <row r="24" ht="24" customHeight="1">
      <c r="A24" s="21" t="inlineStr">
        <is>
          <t>El caso se aprueba solo si se cumple todo el resultado esperado del último paso (en negrita); si cualquier parte no se cumple, se registra como Fallido.</t>
        </is>
      </c>
    </row>
  </sheetData>
  <mergeCells count="27">
    <mergeCell ref="D20:E20"/>
    <mergeCell ref="B7:C7"/>
    <mergeCell ref="A24:E24"/>
    <mergeCell ref="D1:E1"/>
    <mergeCell ref="B12:E13"/>
    <mergeCell ref="B22:C22"/>
    <mergeCell ref="D22:E22"/>
    <mergeCell ref="D21:E21"/>
    <mergeCell ref="B21:C21"/>
    <mergeCell ref="D2:E2"/>
    <mergeCell ref="A12:A13"/>
    <mergeCell ref="B23:C23"/>
    <mergeCell ref="B8:C8"/>
    <mergeCell ref="A3:B3"/>
    <mergeCell ref="G1:L1"/>
    <mergeCell ref="D16:E16"/>
    <mergeCell ref="B18:E18"/>
    <mergeCell ref="D7:E7"/>
    <mergeCell ref="B10:C10"/>
    <mergeCell ref="D4:E4"/>
    <mergeCell ref="B9:C9"/>
    <mergeCell ref="D3:E3"/>
    <mergeCell ref="G6:L7"/>
    <mergeCell ref="D15:E15"/>
    <mergeCell ref="B20:C20"/>
    <mergeCell ref="D5:E5"/>
    <mergeCell ref="D23:E23"/>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5.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CP-063</t>
        </is>
      </c>
      <c r="C1" s="13" t="inlineStr">
        <is>
          <t>Descripción / Funcionalidad</t>
        </is>
      </c>
      <c r="D1" s="18" t="inlineStr">
        <is>
          <t>HU-20 · Pausar la partida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ESC detuvo la partida y mostró el cartel de pausa; durante 5 s Pacman y los fantasmas quedaron inmóviles; las flechas no movieron a Pacman; el segundo ESC reanudó la partida y se quitó el cartel.</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con los personajes en movimiento.</t>
        </is>
      </c>
      <c r="C10" s="24" t="n"/>
      <c r="D10" s="18" t="inlineStr">
        <is>
          <t>Modo de juego:</t>
        </is>
      </c>
      <c r="E10" s="7" t="inlineStr">
        <is>
          <t>Pacman</t>
        </is>
      </c>
    </row>
    <row r="12">
      <c r="A12" s="13" t="inlineStr">
        <is>
          <t>Título del CP</t>
        </is>
      </c>
      <c r="B12" s="34" t="inlineStr">
        <is>
          <t>Pausa y reanudación con ESC</t>
        </is>
      </c>
      <c r="C12" s="43" t="n"/>
      <c r="D12" s="43" t="n"/>
      <c r="E12" s="44" t="n"/>
    </row>
    <row r="13">
      <c r="A13" s="45" t="n"/>
      <c r="B13" s="46" t="n"/>
      <c r="C13" s="47" t="n"/>
      <c r="D13" s="47" t="n"/>
      <c r="E13" s="48" t="n"/>
    </row>
    <row r="15">
      <c r="A15" s="13" t="inlineStr">
        <is>
          <t>Historias de Usuario</t>
        </is>
      </c>
      <c r="B15" s="7" t="inlineStr">
        <is>
          <t>HU-20</t>
        </is>
      </c>
      <c r="C15" s="13" t="inlineStr">
        <is>
          <t>Épica</t>
        </is>
      </c>
      <c r="D15" s="7" t="inlineStr">
        <is>
          <t>E5 — Control de la partida</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Presionar ESC.</t>
        </is>
      </c>
      <c r="C19" s="24" t="n"/>
      <c r="D19" s="7" t="inlineStr">
        <is>
          <t>La partida se detiene y se muestra el cartel de pausa.</t>
        </is>
      </c>
      <c r="E19" s="24" t="n"/>
    </row>
    <row r="20" ht="16.2" customHeight="1">
      <c r="A20" s="8" t="n">
        <v>2</v>
      </c>
      <c r="B20" s="7" t="inlineStr">
        <is>
          <t>Observar la pantalla durante 5 segundos.</t>
        </is>
      </c>
      <c r="C20" s="24" t="n"/>
      <c r="D20" s="7" t="inlineStr">
        <is>
          <t>Pacman y los fantasmas permanecen inmóviles.</t>
        </is>
      </c>
      <c r="E20" s="24" t="n"/>
    </row>
    <row r="21" ht="16.2" customHeight="1">
      <c r="A21" s="8" t="n">
        <v>3</v>
      </c>
      <c r="B21" s="7" t="inlineStr">
        <is>
          <t>Presionar las teclas de movimiento.</t>
        </is>
      </c>
      <c r="C21" s="24" t="n"/>
      <c r="D21" s="7" t="inlineStr">
        <is>
          <t>Pacman no se mueve.</t>
        </is>
      </c>
      <c r="E21" s="24" t="n"/>
    </row>
    <row r="22" ht="55.8" customHeight="1">
      <c r="A22" s="8" t="n">
        <v>4</v>
      </c>
      <c r="B22" s="7" t="inlineStr">
        <is>
          <t>Presionar ESC otra vez.</t>
        </is>
      </c>
      <c r="C22" s="24" t="n"/>
      <c r="D22" s="18" t="inlineStr">
        <is>
          <t>La partida se detiene, los personajes quedan inmóviles, la pantalla indica de manera visible el estado de pausa, las teclas de movimiento no producen efecto, y el segundo ESC reanuda la partida.</t>
        </is>
      </c>
      <c r="E22" s="24" t="n"/>
    </row>
    <row r="23" ht="24" customHeight="1">
      <c r="A23" s="21" t="inlineStr">
        <is>
          <t>El caso se aprueba solo si se cumple todo el resultado esperado del último paso (en negrita); si cualquier parte no se cumple, se registra como Fallido.</t>
        </is>
      </c>
    </row>
  </sheetData>
  <mergeCells count="28">
    <mergeCell ref="D20:E20"/>
    <mergeCell ref="B7:C7"/>
    <mergeCell ref="D1:E1"/>
    <mergeCell ref="D19:E19"/>
    <mergeCell ref="B12:E13"/>
    <mergeCell ref="B22:C22"/>
    <mergeCell ref="D22:E22"/>
    <mergeCell ref="B18:C18"/>
    <mergeCell ref="D21:E21"/>
    <mergeCell ref="B21:C21"/>
    <mergeCell ref="D2:E2"/>
    <mergeCell ref="A12:A13"/>
    <mergeCell ref="B8:C8"/>
    <mergeCell ref="A3:B3"/>
    <mergeCell ref="G1:L1"/>
    <mergeCell ref="D16:E16"/>
    <mergeCell ref="D7:E7"/>
    <mergeCell ref="B19:C19"/>
    <mergeCell ref="B10:C10"/>
    <mergeCell ref="D4:E4"/>
    <mergeCell ref="A23:E23"/>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6.xml><?xml version="1.0" encoding="utf-8"?>
<worksheet xmlns="http://schemas.openxmlformats.org/spreadsheetml/2006/main">
  <sheetPr>
    <outlinePr summaryBelow="1" summaryRight="1"/>
    <pageSetUpPr fitToPage="1"/>
  </sheetPr>
  <dimension ref="A1:L23"/>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CP-064</t>
        </is>
      </c>
      <c r="C1" s="13" t="inlineStr">
        <is>
          <t>Descripción / Funcionalidad</t>
        </is>
      </c>
      <c r="D1" s="18" t="inlineStr">
        <is>
          <t>HU-20 · Pausar la partida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pausa a los 2 s se disparó por script con el mismo evento de teclado ESC, para que fuera exacta; la reanudación fue con tecla real.</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Pausa a los 2 s del PowerUp durante 15 s: el PowerUp siguió activo con el temporizador detenido en 5.95 s; al reanudar duró 5.97 s más (6 s). (Fantasmas retirados y posiciones preparadas por script para aislar la condición.)</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Los temporizadores se detienen durante la pausa</t>
        </is>
      </c>
      <c r="C12" s="43" t="n"/>
      <c r="D12" s="43" t="n"/>
      <c r="E12" s="44" t="n"/>
    </row>
    <row r="13">
      <c r="A13" s="45" t="n"/>
      <c r="B13" s="46" t="n"/>
      <c r="C13" s="47" t="n"/>
      <c r="D13" s="47" t="n"/>
      <c r="E13" s="48" t="n"/>
    </row>
    <row r="15">
      <c r="A15" s="13" t="inlineStr">
        <is>
          <t>Historias de Usuario</t>
        </is>
      </c>
      <c r="B15" s="7" t="inlineStr">
        <is>
          <t>HU-20</t>
        </is>
      </c>
      <c r="C15" s="13" t="inlineStr">
        <is>
          <t>Épica</t>
        </is>
      </c>
      <c r="D15" s="7" t="inlineStr">
        <is>
          <t>E5 — Control de la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Consumir una esfera grande.</t>
        </is>
      </c>
      <c r="C19" s="24" t="n"/>
      <c r="D19" s="7" t="inlineStr">
        <is>
          <t>El PowerUp se activa.</t>
        </is>
      </c>
      <c r="E19" s="24" t="n"/>
    </row>
    <row r="20" ht="16.2" customHeight="1">
      <c r="A20" s="8" t="n">
        <v>2</v>
      </c>
      <c r="B20" s="7" t="inlineStr">
        <is>
          <t>A los 2 segundos, presionar ESC.</t>
        </is>
      </c>
      <c r="C20" s="24" t="n"/>
      <c r="D20" s="7" t="inlineStr">
        <is>
          <t>La partida se pausa con el PowerUp activo.</t>
        </is>
      </c>
      <c r="E20" s="24" t="n"/>
    </row>
    <row r="21" ht="29.4" customHeight="1">
      <c r="A21" s="8" t="n">
        <v>3</v>
      </c>
      <c r="B21" s="7" t="inlineStr">
        <is>
          <t>Mantener la pausa 15 segundos.</t>
        </is>
      </c>
      <c r="C21" s="24" t="n"/>
      <c r="D21" s="7" t="inlineStr">
        <is>
          <t>El PowerUp sigue activo y los fantasmas inmóviles durante la pausa.</t>
        </is>
      </c>
      <c r="E21" s="24" t="n"/>
    </row>
    <row r="22" ht="29.4" customHeight="1">
      <c r="A22" s="8" t="n">
        <v>4</v>
      </c>
      <c r="B22" s="7" t="inlineStr">
        <is>
          <t>Reanudar y cronometrar cuánto dura el PowerUp desde la reanudación.</t>
        </is>
      </c>
      <c r="C22" s="24" t="n"/>
      <c r="D22" s="18" t="inlineStr">
        <is>
          <t>El PowerUp continúa 6 segundos desde la reanudación. No termina durante la pausa ni al reanudarse.</t>
        </is>
      </c>
      <c r="E22" s="24" t="n"/>
    </row>
    <row r="23" ht="24" customHeight="1">
      <c r="A23" s="21" t="inlineStr">
        <is>
          <t>El caso se aprueba solo si se cumple todo el resultado esperado del último paso (en negrita); si cualquier parte no se cumple, se registra como Fallido.</t>
        </is>
      </c>
    </row>
  </sheetData>
  <mergeCells count="28">
    <mergeCell ref="D20:E20"/>
    <mergeCell ref="B7:C7"/>
    <mergeCell ref="D1:E1"/>
    <mergeCell ref="D19:E19"/>
    <mergeCell ref="B12:E13"/>
    <mergeCell ref="B22:C22"/>
    <mergeCell ref="D22:E22"/>
    <mergeCell ref="B18:C18"/>
    <mergeCell ref="D21:E21"/>
    <mergeCell ref="B21:C21"/>
    <mergeCell ref="D2:E2"/>
    <mergeCell ref="A12:A13"/>
    <mergeCell ref="B8:C8"/>
    <mergeCell ref="A3:B3"/>
    <mergeCell ref="G1:L1"/>
    <mergeCell ref="D16:E16"/>
    <mergeCell ref="D7:E7"/>
    <mergeCell ref="B19:C19"/>
    <mergeCell ref="B10:C10"/>
    <mergeCell ref="D4:E4"/>
    <mergeCell ref="A23:E23"/>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7.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CP-065</t>
        </is>
      </c>
      <c r="C1" s="13" t="inlineStr">
        <is>
          <t>Descripción / Funcionalidad</t>
        </is>
      </c>
      <c r="D1" s="18" t="inlineStr">
        <is>
          <t>HU-20 · Pausar la partida</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42.59999999999999"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Nivel jugado con el piloto automático; pausa disparada por script y reanudación con ESC real.</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Nivel 1 con una pausa de 60 s: tiempo de juego efectivo 4.87 s (reloj real ≈ 64 s; durante la pausa el tiempo no avanzó); bonus por tiempo 1150 = 10 × 115, sin descontar la pausa. (Mapa reducido a una esfera por script para completar el nivel.)</t>
        </is>
      </c>
      <c r="L4" s="11" t="n"/>
    </row>
    <row r="5" ht="30" customHeight="1">
      <c r="A5" s="13" t="inlineStr">
        <is>
          <t>Prioridad (Alta, Media, Baja)</t>
        </is>
      </c>
      <c r="B5" s="18" t="inlineStr">
        <is>
          <t>Baja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16.2" customHeight="1">
      <c r="A10" s="8" t="n">
        <v>3</v>
      </c>
      <c r="B10" s="7" t="inlineStr">
        <is>
          <t>Partida en curso (N1).</t>
        </is>
      </c>
      <c r="C10" s="24" t="n"/>
      <c r="D10" s="18" t="inlineStr">
        <is>
          <t>Modo de juego:</t>
        </is>
      </c>
      <c r="E10" s="7" t="inlineStr">
        <is>
          <t>Pacman</t>
        </is>
      </c>
    </row>
    <row r="12">
      <c r="A12" s="13" t="inlineStr">
        <is>
          <t>Título del CP</t>
        </is>
      </c>
      <c r="B12" s="34" t="inlineStr">
        <is>
          <t>El bonus por tiempo no se afecta por la pausa</t>
        </is>
      </c>
      <c r="C12" s="43" t="n"/>
      <c r="D12" s="43" t="n"/>
      <c r="E12" s="44" t="n"/>
    </row>
    <row r="13">
      <c r="A13" s="45" t="n"/>
      <c r="B13" s="46" t="n"/>
      <c r="C13" s="47" t="n"/>
      <c r="D13" s="47" t="n"/>
      <c r="E13" s="48" t="n"/>
    </row>
    <row r="15">
      <c r="A15" s="13" t="inlineStr">
        <is>
          <t>Historias de Usuario</t>
        </is>
      </c>
      <c r="B15" s="7" t="inlineStr">
        <is>
          <t>HU-20</t>
        </is>
      </c>
      <c r="C15" s="13" t="inlineStr">
        <is>
          <t>Épica</t>
        </is>
      </c>
      <c r="D15" s="7" t="inlineStr">
        <is>
          <t>E5 — Control de la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42.59999999999999" customHeight="1">
      <c r="A19" s="8" t="n">
        <v>1</v>
      </c>
      <c r="B19" s="7" t="inlineStr">
        <is>
          <t>Completar el nivel 1 con una pausa de 60 segundos en el medio, registrando el tiempo de juego efectivo.</t>
        </is>
      </c>
      <c r="C19" s="24" t="n"/>
      <c r="D19" s="7" t="inlineStr">
        <is>
          <t>Nivel completado y tiempo de juego efectivo anotado.</t>
        </is>
      </c>
      <c r="E19" s="24" t="n"/>
    </row>
    <row r="20" ht="29.4" customHeight="1">
      <c r="A20" s="8" t="n">
        <v>2</v>
      </c>
      <c r="B20" s="7" t="inlineStr">
        <is>
          <t>Verificar el bonus por tiempo.</t>
        </is>
      </c>
      <c r="C20" s="24" t="n"/>
      <c r="D20" s="18" t="inlineStr">
        <is>
          <t>El bonus por tiempo se calcula sobre el tiempo de juego efectivo y no incluye los 60 segundos de pausa.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8.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CP-066</t>
        </is>
      </c>
      <c r="C1" s="13" t="inlineStr">
        <is>
          <t>Descripción / Funcionalidad</t>
        </is>
      </c>
      <c r="D1" s="18" t="inlineStr">
        <is>
          <t>HU-21 · Ignorar la barra espaciadora en modo Pacman</t>
        </is>
      </c>
      <c r="E1" s="24" t="n"/>
      <c r="G1" s="30" t="inlineStr">
        <is>
          <t>Registro de ejecución</t>
        </is>
      </c>
      <c r="H1" s="23" t="n"/>
      <c r="I1" s="23" t="n"/>
      <c r="J1" s="23" t="n"/>
      <c r="K1" s="23" t="n"/>
      <c r="L1" s="24" t="n"/>
    </row>
    <row r="2">
      <c r="A2" s="13" t="inlineStr">
        <is>
          <t>Creado por</t>
        </is>
      </c>
      <c r="B2" s="18" t="inlineStr">
        <is>
          <t>Cruz, 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55.8"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v>46294</v>
      </c>
      <c r="I3" s="11" t="inlineStr">
        <is>
          <t>Rodriguez Castro</t>
        </is>
      </c>
      <c r="J3" s="11" t="inlineStr">
        <is>
          <t>Aprobado</t>
        </is>
      </c>
      <c r="K3" s="11" t="inlineStr">
        <is>
          <t>Aprobado. La página no tiene contenido desplazable (alto del documento = alto de la ventana); igualmente se verificó que el juego bloquea la acción por defecto de la tecla.</t>
        </is>
      </c>
      <c r="L3" s="11" t="n"/>
    </row>
    <row r="4" ht="30" customHeight="1">
      <c r="C4" s="13" t="inlineStr">
        <is>
          <t>Estado en la Entrega 1</t>
        </is>
      </c>
      <c r="D4" s="7" t="inlineStr">
        <is>
          <t>Aprobado</t>
        </is>
      </c>
      <c r="E4" s="24" t="n"/>
      <c r="G4" s="9" t="inlineStr">
        <is>
          <t>Ciclo 2</t>
        </is>
      </c>
      <c r="H4" s="40" t="n">
        <v>46323</v>
      </c>
      <c r="I4" s="11" t="inlineStr">
        <is>
          <t>Luzzi</t>
        </is>
      </c>
      <c r="J4" s="11" t="inlineStr">
        <is>
          <t>Aprobado</t>
        </is>
      </c>
      <c r="K4" s="11" t="inlineStr">
        <is>
          <t>10 pulsaciones de la barra espaciadora: puntaje, vidas, pausa, PowerUp y estado de la partida sin cambios ([0, 3, False, False, False] → [0, 3, False, False, False]); la página no hizo scroll (scrollY 0 → 0).</t>
        </is>
      </c>
      <c r="L4" s="11" t="n"/>
    </row>
    <row r="5" ht="30" customHeight="1">
      <c r="A5" s="13" t="inlineStr">
        <is>
          <t>Prioridad (Alta, Media, Baja)</t>
        </is>
      </c>
      <c r="B5" s="18" t="inlineStr">
        <is>
          <t>Baja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Elegir «Modo PacMan» en el menú principal y presionar Enter (HU-22).</t>
        </is>
      </c>
      <c r="C9" s="24" t="n"/>
      <c r="D9" s="18" t="inlineStr">
        <is>
          <t>Navegador:</t>
        </is>
      </c>
      <c r="E9" s="7" t="inlineStr">
        <is>
          <t>Chromium 141 de escritorio</t>
        </is>
      </c>
    </row>
    <row r="10" ht="29.4" customHeight="1">
      <c r="A10" s="8" t="n">
        <v>3</v>
      </c>
      <c r="B10" s="7" t="inlineStr">
        <is>
          <t>Partida en curso (N1), sin PowerUp activo, puntaje y vidas registrados.</t>
        </is>
      </c>
      <c r="C10" s="24" t="n"/>
      <c r="D10" s="18" t="inlineStr">
        <is>
          <t>Modo de juego:</t>
        </is>
      </c>
      <c r="E10" s="7" t="inlineStr">
        <is>
          <t>Pacman</t>
        </is>
      </c>
    </row>
    <row r="12">
      <c r="A12" s="13" t="inlineStr">
        <is>
          <t>Título del CP</t>
        </is>
      </c>
      <c r="B12" s="34" t="inlineStr">
        <is>
          <t>La barra espaciadora no tiene efecto en modo Pacman</t>
        </is>
      </c>
      <c r="C12" s="43" t="n"/>
      <c r="D12" s="43" t="n"/>
      <c r="E12" s="44" t="n"/>
    </row>
    <row r="13">
      <c r="A13" s="45" t="n"/>
      <c r="B13" s="46" t="n"/>
      <c r="C13" s="47" t="n"/>
      <c r="D13" s="47" t="n"/>
      <c r="E13" s="48" t="n"/>
    </row>
    <row r="15">
      <c r="A15" s="13" t="inlineStr">
        <is>
          <t>Historias de Usuario</t>
        </is>
      </c>
      <c r="B15" s="7" t="inlineStr">
        <is>
          <t>HU-21</t>
        </is>
      </c>
      <c r="C15" s="13" t="inlineStr">
        <is>
          <t>Épica</t>
        </is>
      </c>
      <c r="D15" s="7" t="inlineStr">
        <is>
          <t>E5 — Control de la partida</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Presionar la barra espaciadora 10 veces.</t>
        </is>
      </c>
      <c r="C19" s="24" t="n"/>
      <c r="D19" s="7" t="inlineStr">
        <is>
          <t>No se produce ningún cambio visible en la partida.</t>
        </is>
      </c>
      <c r="E19" s="24" t="n"/>
    </row>
    <row r="20" ht="55.8" customHeight="1">
      <c r="A20" s="8" t="n">
        <v>2</v>
      </c>
      <c r="B20" s="7" t="inlineStr">
        <is>
          <t>Verificar puntaje, vidas, estado de la partida y posición de la página en el navegador.</t>
        </is>
      </c>
      <c r="C20" s="24" t="n"/>
      <c r="D20" s="18" t="inlineStr">
        <is>
          <t>El estado del juego no cambia en ningún aspecto: la partida no se pausa, el PowerUp no se activa, el puntaje no varía. La página no hace scroll ni ejecuta ninguna acción por defecto del navegador.</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69.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CP-067</t>
        </is>
      </c>
      <c r="C1" s="13" t="inlineStr">
        <is>
          <t>Descripción / Funcionalidad</t>
        </is>
      </c>
      <c r="D1" s="18" t="inlineStr">
        <is>
          <t>HU-22 · Elegir el modo de juego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Menú con «Modo PacMan» (seleccionada) y «Modo GhostMan». Enter inicia el modo Pacman en el nivel 1; ← mueve a Pacman; 3 íconos de Pacman en la barra inferior.</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Aplicación recién abierta, con el menú principal en pantalla.</t>
        </is>
      </c>
      <c r="C9" s="24" t="n"/>
      <c r="D9" s="18" t="inlineStr">
        <is>
          <t>Navegador:</t>
        </is>
      </c>
      <c r="E9" s="7" t="inlineStr">
        <is>
          <t>Chromium 141 de escritorio</t>
        </is>
      </c>
    </row>
    <row r="10" ht="16.2" customHeight="1">
      <c r="A10" s="8" t="n"/>
      <c r="B10" s="7" t="n"/>
      <c r="C10" s="24" t="n"/>
      <c r="D10" s="18" t="inlineStr">
        <is>
          <t>Modo:</t>
        </is>
      </c>
      <c r="E10" s="7" t="inlineStr">
        <is>
          <t>Pacman</t>
        </is>
      </c>
    </row>
    <row r="12">
      <c r="A12" s="13" t="inlineStr">
        <is>
          <t>Título del CP</t>
        </is>
      </c>
      <c r="B12" s="34" t="inlineStr">
        <is>
          <t>Selección del modo Pacman</t>
        </is>
      </c>
      <c r="C12" s="43" t="n"/>
      <c r="D12" s="43" t="n"/>
      <c r="E12" s="44" t="n"/>
    </row>
    <row r="13">
      <c r="A13" s="45" t="n"/>
      <c r="B13" s="46" t="n"/>
      <c r="C13" s="47" t="n"/>
      <c r="D13" s="47" t="n"/>
      <c r="E13" s="48" t="n"/>
    </row>
    <row r="15">
      <c r="A15" s="13" t="inlineStr">
        <is>
          <t>Historias de Usuario</t>
        </is>
      </c>
      <c r="B15" s="7" t="inlineStr">
        <is>
          <t>HU-22</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Observar el menú principal.</t>
        </is>
      </c>
      <c r="C19" s="24" t="n"/>
      <c r="D19" s="7" t="inlineStr">
        <is>
          <t>Se muestran dos opciones, «Modo PacMan» y «Modo GhostMan», con «Modo PacMan» seleccionada.</t>
        </is>
      </c>
      <c r="E19" s="24" t="n"/>
    </row>
    <row r="20" ht="42.59999999999999" customHeight="1">
      <c r="A20" s="8" t="n">
        <v>2</v>
      </c>
      <c r="B20" s="7" t="inlineStr">
        <is>
          <t>Presionar Enter.</t>
        </is>
      </c>
      <c r="C20" s="24" t="n"/>
      <c r="D20" s="18" t="inlineStr">
        <is>
          <t>Empieza una partida en el nivel 1 en la que el jugador controla a Pacman con las flechas, con 3 vidas con íconos de Pacman abajo a la izquierda.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0.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CP-068</t>
        </is>
      </c>
      <c r="C1" s="13" t="inlineStr">
        <is>
          <t>Descripción / Funcionalidad</t>
        </is>
      </c>
      <c r="D1" s="18" t="inlineStr">
        <is>
          <t>HU-22 · Elegir el modo de juego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 selecciona «Modo GhostMan»; Enter abre el carrusel con «Clásico» en el centro.</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Menú principal en pantalla.</t>
        </is>
      </c>
      <c r="C9" s="24" t="n"/>
      <c r="D9" s="18" t="inlineStr">
        <is>
          <t>Navegador:</t>
        </is>
      </c>
      <c r="E9" s="7" t="inlineStr">
        <is>
          <t>Chromium 141 de escritorio</t>
        </is>
      </c>
    </row>
    <row r="10" ht="16.2" customHeight="1">
      <c r="A10" s="8" t="n"/>
      <c r="B10" s="7" t="n"/>
      <c r="C10" s="24" t="n"/>
      <c r="D10" s="18" t="inlineStr">
        <is>
          <t>Modo:</t>
        </is>
      </c>
      <c r="E10" s="7" t="inlineStr">
        <is>
          <t>GhostMan</t>
        </is>
      </c>
    </row>
    <row r="12">
      <c r="A12" s="13" t="inlineStr">
        <is>
          <t>Título del CP</t>
        </is>
      </c>
      <c r="B12" s="34" t="inlineStr">
        <is>
          <t>Selección del modo GhostMan</t>
        </is>
      </c>
      <c r="C12" s="43" t="n"/>
      <c r="D12" s="43" t="n"/>
      <c r="E12" s="44" t="n"/>
    </row>
    <row r="13">
      <c r="A13" s="45" t="n"/>
      <c r="B13" s="46" t="n"/>
      <c r="C13" s="47" t="n"/>
      <c r="D13" s="47" t="n"/>
      <c r="E13" s="48" t="n"/>
    </row>
    <row r="15">
      <c r="A15" s="13" t="inlineStr">
        <is>
          <t>Historias de Usuario</t>
        </is>
      </c>
      <c r="B15" s="7" t="inlineStr">
        <is>
          <t>HU-22</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16.2" customHeight="1">
      <c r="A19" s="8" t="n">
        <v>1</v>
      </c>
      <c r="B19" s="7" t="inlineStr">
        <is>
          <t>Presionar ↓ (o S).</t>
        </is>
      </c>
      <c r="C19" s="24" t="n"/>
      <c r="D19" s="7" t="inlineStr">
        <is>
          <t>La selección pasa a «Modo GhostMan».</t>
        </is>
      </c>
      <c r="E19" s="24" t="n"/>
    </row>
    <row r="20" ht="29.4" customHeight="1">
      <c r="A20" s="8" t="n">
        <v>2</v>
      </c>
      <c r="B20" s="7" t="inlineStr">
        <is>
          <t>Presionar Enter.</t>
        </is>
      </c>
      <c r="C20" s="24" t="n"/>
      <c r="D20" s="18" t="inlineStr">
        <is>
          <t>Se abre el carrusel de selección de fantasma, con el Clásico en el centro.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1.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CP-069</t>
        </is>
      </c>
      <c r="C1" s="13" t="inlineStr">
        <is>
          <t>Descripción / Funcionalidad</t>
        </is>
      </c>
      <c r="D1" s="18" t="inlineStr">
        <is>
          <t>HU-22 · Elegir el modo de juego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Modo Pacman: barra «Vidas» con 3 íconos de Pacman. Modo GhostMan: «Vidas de Pacman» con 3 íconos de fantasma.</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Menú principal en pantalla.</t>
        </is>
      </c>
      <c r="C9" s="24" t="n"/>
      <c r="D9" s="18" t="inlineStr">
        <is>
          <t>Navegador:</t>
        </is>
      </c>
      <c r="E9" s="7" t="inlineStr">
        <is>
          <t>Chromium 141 de escritorio</t>
        </is>
      </c>
    </row>
    <row r="10" ht="16.2" customHeight="1">
      <c r="A10" s="8" t="n"/>
      <c r="B10" s="7" t="n"/>
      <c r="C10" s="24" t="n"/>
      <c r="D10" s="18" t="inlineStr">
        <is>
          <t>Fantasma:</t>
        </is>
      </c>
      <c r="E10" s="7" t="inlineStr">
        <is>
          <t>Espectro</t>
        </is>
      </c>
    </row>
    <row r="12">
      <c r="A12" s="13" t="inlineStr">
        <is>
          <t>Título del CP</t>
        </is>
      </c>
      <c r="B12" s="34" t="inlineStr">
        <is>
          <t>Ícono de vidas según el modo</t>
        </is>
      </c>
      <c r="C12" s="43" t="n"/>
      <c r="D12" s="43" t="n"/>
      <c r="E12" s="44" t="n"/>
    </row>
    <row r="13">
      <c r="A13" s="45" t="n"/>
      <c r="B13" s="46" t="n"/>
      <c r="C13" s="47" t="n"/>
      <c r="D13" s="47" t="n"/>
      <c r="E13" s="48" t="n"/>
    </row>
    <row r="15">
      <c r="A15" s="13" t="inlineStr">
        <is>
          <t>Historias de Usuario</t>
        </is>
      </c>
      <c r="B15" s="7" t="inlineStr">
        <is>
          <t>HU-22</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Iniciar el modo PacMan y observar la barra inferior.</t>
        </is>
      </c>
      <c r="C19" s="24" t="n"/>
      <c r="D19" s="7" t="inlineStr">
        <is>
          <t>Barra «Vidas» abajo a la izquierda con 3 íconos de Pacman.</t>
        </is>
      </c>
      <c r="E19" s="24" t="n"/>
    </row>
    <row r="20" ht="29.4" customHeight="1">
      <c r="A20" s="8" t="n">
        <v>2</v>
      </c>
      <c r="B20" s="7" t="inlineStr">
        <is>
          <t>Recargar la página, iniciar el modo GhostMan con el espectro y observar la barra inferior.</t>
        </is>
      </c>
      <c r="C20" s="24" t="n"/>
      <c r="D20" s="18" t="inlineStr">
        <is>
          <t>Barra «Vidas de Pacman» abajo a la izquierda con 3 íconos de fantasma: el ícono identifica el modo.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CP-070</t>
        </is>
      </c>
      <c r="C1" s="13" t="inlineStr">
        <is>
          <t>Descripción / Funcionalidad</t>
        </is>
      </c>
      <c r="D1" s="18" t="inlineStr">
        <is>
          <t>HU-23 · Seleccionar el fantasma con el que jugar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Tipos en orden: Clásico, Espectro, Saltarín, Naval, Acelerado. Cada uno con su nombre debajo y la descripción del poder como subtítulo.</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Carrusel de selección abierto.</t>
        </is>
      </c>
      <c r="C9" s="24" t="n"/>
      <c r="D9" s="18" t="inlineStr">
        <is>
          <t>Navegador:</t>
        </is>
      </c>
      <c r="E9" s="7" t="inlineStr">
        <is>
          <t>Chromium 141 de escritorio</t>
        </is>
      </c>
    </row>
    <row r="11">
      <c r="A11" s="13" t="inlineStr">
        <is>
          <t>Título del CP</t>
        </is>
      </c>
      <c r="B11" s="34" t="inlineStr">
        <is>
          <t>Contenido del carrusel de fantasmas</t>
        </is>
      </c>
      <c r="C11" s="43" t="n"/>
      <c r="D11" s="43" t="n"/>
      <c r="E11" s="44" t="n"/>
    </row>
    <row r="12">
      <c r="A12" s="45" t="n"/>
      <c r="B12" s="46" t="n"/>
      <c r="C12" s="47" t="n"/>
      <c r="D12" s="47" t="n"/>
      <c r="E12" s="48" t="n"/>
    </row>
    <row r="14">
      <c r="A14" s="13" t="inlineStr">
        <is>
          <t>Historias de Usuario</t>
        </is>
      </c>
      <c r="B14" s="7" t="inlineStr">
        <is>
          <t>HU-23</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Observar el carrusel al abrirse.</t>
        </is>
      </c>
      <c r="C18" s="24" t="n"/>
      <c r="D18" s="7" t="inlineStr">
        <is>
          <t>El Clásico está en el centro, con su nombre debajo y la descripción de su poder como subtítulo.</t>
        </is>
      </c>
      <c r="E18" s="24" t="n"/>
    </row>
    <row r="19" ht="42.59999999999999" customHeight="1">
      <c r="A19" s="8" t="n">
        <v>2</v>
      </c>
      <c r="B19" s="7" t="inlineStr">
        <is>
          <t>Presionar → cuatro veces, anotando nombre y descripción de cada tipo.</t>
        </is>
      </c>
      <c r="C19" s="24" t="n"/>
      <c r="D19" s="18" t="inlineStr">
        <is>
          <t>Se presentan los 5 tipos en orden Clásico, Espectro, Saltarín, Naval y Acelerado, cada uno con su nombre y la descripción de su poder.</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3.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CP-071</t>
        </is>
      </c>
      <c r="C1" s="13" t="inlineStr">
        <is>
          <t>Descripción / Funcionalidad</t>
        </is>
      </c>
      <c r="D1" s="18" t="inlineStr">
        <is>
          <t>HU-23 · Seleccionar el fantasma con el que jugar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 → Acelerado; D → Clásico; A → Acelerado.</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Carrusel abierto con el Clásico en el centro.</t>
        </is>
      </c>
      <c r="C9" s="24" t="n"/>
      <c r="D9" s="18" t="inlineStr">
        <is>
          <t>Navegador:</t>
        </is>
      </c>
      <c r="E9" s="7" t="inlineStr">
        <is>
          <t>Chromium 141 de escritorio</t>
        </is>
      </c>
    </row>
    <row r="11">
      <c r="A11" s="13" t="inlineStr">
        <is>
          <t>Título del CP</t>
        </is>
      </c>
      <c r="B11" s="34" t="inlineStr">
        <is>
          <t>Navegación circular del carrusel</t>
        </is>
      </c>
      <c r="C11" s="43" t="n"/>
      <c r="D11" s="43" t="n"/>
      <c r="E11" s="44" t="n"/>
    </row>
    <row r="12">
      <c r="A12" s="45" t="n"/>
      <c r="B12" s="46" t="n"/>
      <c r="C12" s="47" t="n"/>
      <c r="D12" s="47" t="n"/>
      <c r="E12" s="48" t="n"/>
    </row>
    <row r="14">
      <c r="A14" s="13" t="inlineStr">
        <is>
          <t>Historias de Usuario</t>
        </is>
      </c>
      <c r="B14" s="7" t="inlineStr">
        <is>
          <t>HU-23</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Presionar ←.</t>
        </is>
      </c>
      <c r="C18" s="24" t="n"/>
      <c r="D18" s="7" t="inlineStr">
        <is>
          <t>Queda seleccionado el Acelerado (el último).</t>
        </is>
      </c>
      <c r="E18" s="24" t="n"/>
    </row>
    <row r="19" ht="16.2" customHeight="1">
      <c r="A19" s="8" t="n">
        <v>2</v>
      </c>
      <c r="B19" s="7" t="inlineStr">
        <is>
          <t>Presionar D.</t>
        </is>
      </c>
      <c r="C19" s="24" t="n"/>
      <c r="D19" s="7" t="inlineStr">
        <is>
          <t>Vuelve al Clásico (el primero).</t>
        </is>
      </c>
      <c r="E19" s="24" t="n"/>
    </row>
    <row r="20" ht="29.4" customHeight="1">
      <c r="A20" s="8" t="n">
        <v>3</v>
      </c>
      <c r="B20" s="7" t="inlineStr">
        <is>
          <t>Presionar A.</t>
        </is>
      </c>
      <c r="C20" s="24" t="n"/>
      <c r="D20" s="18" t="inlineStr">
        <is>
          <t>El carrusel es circular en los dos sentidos, con flechas y con A/D: queda otra vez el Acelerado.</t>
        </is>
      </c>
      <c r="E20" s="24" t="n"/>
    </row>
    <row r="21" ht="24" customHeight="1">
      <c r="A21" s="21" t="inlineStr">
        <is>
          <t>El caso se aprueba solo si se cumple todo el resultado esperado del último paso (en negrita); si cualquier parte no se cumple, se registra como Fallido.</t>
        </is>
      </c>
    </row>
  </sheetData>
  <mergeCells count="25">
    <mergeCell ref="D20:E20"/>
    <mergeCell ref="B7:C7"/>
    <mergeCell ref="D1:E1"/>
    <mergeCell ref="D19:E19"/>
    <mergeCell ref="B11:E12"/>
    <mergeCell ref="B18:C18"/>
    <mergeCell ref="D2:E2"/>
    <mergeCell ref="B17:C17"/>
    <mergeCell ref="B8:C8"/>
    <mergeCell ref="D17:E17"/>
    <mergeCell ref="A3:B3"/>
    <mergeCell ref="A21:E21"/>
    <mergeCell ref="G1:L1"/>
    <mergeCell ref="D7:E7"/>
    <mergeCell ref="B19:C19"/>
    <mergeCell ref="D4:E4"/>
    <mergeCell ref="D18:E18"/>
    <mergeCell ref="B9:C9"/>
    <mergeCell ref="D3:E3"/>
    <mergeCell ref="G6:L7"/>
    <mergeCell ref="D15:E15"/>
    <mergeCell ref="B20:C20"/>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4.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CP-072</t>
        </is>
      </c>
      <c r="C1" s="13" t="inlineStr">
        <is>
          <t>Descripción / Funcionalidad</t>
        </is>
      </c>
      <c r="D1" s="18" t="inlineStr">
        <is>
          <t>HU-23 · Seleccionar el fantasma con el que jugar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Enter con el Naval en el centro inicia el modo GhostMan con el Naval (velocidad 4 celdas/s) en la esquina superior izquierda.</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v>46323</v>
      </c>
      <c r="I5" s="11" t="inlineStr">
        <is>
          <t>Luzzi</t>
        </is>
      </c>
      <c r="J5" s="11" t="inlineStr">
        <is>
          <t>Aprobado</t>
        </is>
      </c>
      <c r="K5" s="11" t="inlineStr">
        <is>
          <t>Enter con el Naval en el centro inicia el modo GhostMan con el Naval (velocidad 3 celdas/s, decisión 39). Ciclo 3: build con la decisión 39 (velocidad −25 %).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Carrusel abierto.</t>
        </is>
      </c>
      <c r="C9" s="24" t="n"/>
      <c r="D9" s="18" t="inlineStr">
        <is>
          <t>Navegador:</t>
        </is>
      </c>
      <c r="E9" s="7" t="inlineStr">
        <is>
          <t>Chromium 141 de escritorio</t>
        </is>
      </c>
    </row>
    <row r="10" ht="16.2" customHeight="1">
      <c r="A10" s="8" t="n"/>
      <c r="B10" s="7" t="n"/>
      <c r="C10" s="24" t="n"/>
      <c r="D10" s="18" t="inlineStr">
        <is>
          <t>Fantasma:</t>
        </is>
      </c>
      <c r="E10" s="7" t="inlineStr">
        <is>
          <t>Naval</t>
        </is>
      </c>
    </row>
    <row r="12">
      <c r="A12" s="13" t="inlineStr">
        <is>
          <t>Título del CP</t>
        </is>
      </c>
      <c r="B12" s="34" t="inlineStr">
        <is>
          <t>Confirmación con Enter</t>
        </is>
      </c>
      <c r="C12" s="43" t="n"/>
      <c r="D12" s="43" t="n"/>
      <c r="E12" s="44" t="n"/>
    </row>
    <row r="13">
      <c r="A13" s="45" t="n"/>
      <c r="B13" s="46" t="n"/>
      <c r="C13" s="47" t="n"/>
      <c r="D13" s="47" t="n"/>
      <c r="E13" s="48" t="n"/>
    </row>
    <row r="15">
      <c r="A15" s="13" t="inlineStr">
        <is>
          <t>Historias de Usuario</t>
        </is>
      </c>
      <c r="B15" s="7" t="inlineStr">
        <is>
          <t>HU-23</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16.2" customHeight="1">
      <c r="A19" s="8" t="n">
        <v>1</v>
      </c>
      <c r="B19" s="7" t="inlineStr">
        <is>
          <t>Presionar → hasta dejar al Naval en el centro.</t>
        </is>
      </c>
      <c r="C19" s="24" t="n"/>
      <c r="D19" s="7" t="inlineStr">
        <is>
          <t>El Naval está en el centro.</t>
        </is>
      </c>
      <c r="E19" s="24" t="n"/>
    </row>
    <row r="20" ht="42.59999999999999" customHeight="1">
      <c r="A20" s="8" t="n">
        <v>2</v>
      </c>
      <c r="B20" s="7" t="inlineStr">
        <is>
          <t>Presionar Enter.</t>
        </is>
      </c>
      <c r="C20" s="24" t="n"/>
      <c r="D20" s="18" t="inlineStr">
        <is>
          <t>Empieza la partida en modo GhostMan con el Naval como fantasma del jugador (marca de onda, esquina superior izquierda).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5.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CP-073</t>
        </is>
      </c>
      <c r="C1" s="13" t="inlineStr">
        <is>
          <t>Descripción / Funcionalidad</t>
        </is>
      </c>
      <c r="D1" s="18" t="inlineStr">
        <is>
          <t>HU-23 · Seleccionar el fantasma con el que jugar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 → A D Enter durante 4 s el carrusel no se abre; tras pausar y reanudar el fantasma sigue siendo el Espectro.</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Espectro.</t>
        </is>
      </c>
      <c r="C9" s="24" t="n"/>
      <c r="D9" s="18" t="inlineStr">
        <is>
          <t>Navegador:</t>
        </is>
      </c>
      <c r="E9" s="7" t="inlineStr">
        <is>
          <t>Chromium 141 de escritorio</t>
        </is>
      </c>
    </row>
    <row r="10" ht="16.2" customHeight="1">
      <c r="A10" s="8" t="n"/>
      <c r="B10" s="7" t="n"/>
      <c r="C10" s="24" t="n"/>
      <c r="D10" s="18" t="inlineStr">
        <is>
          <t>Fantasma:</t>
        </is>
      </c>
      <c r="E10" s="7" t="inlineStr">
        <is>
          <t>Espectro</t>
        </is>
      </c>
    </row>
    <row r="12">
      <c r="A12" s="13" t="inlineStr">
        <is>
          <t>Título del CP</t>
        </is>
      </c>
      <c r="B12" s="34" t="inlineStr">
        <is>
          <t>Inmutabilidad de la selección</t>
        </is>
      </c>
      <c r="C12" s="43" t="n"/>
      <c r="D12" s="43" t="n"/>
      <c r="E12" s="44" t="n"/>
    </row>
    <row r="13">
      <c r="A13" s="45" t="n"/>
      <c r="B13" s="46" t="n"/>
      <c r="C13" s="47" t="n"/>
      <c r="D13" s="47" t="n"/>
      <c r="E13" s="48" t="n"/>
    </row>
    <row r="15">
      <c r="A15" s="13" t="inlineStr">
        <is>
          <t>Historias de Usuario</t>
        </is>
      </c>
      <c r="B15" s="7" t="inlineStr">
        <is>
          <t>HU-23</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Presionar ←, →, A, D y Enter durante 5 s.</t>
        </is>
      </c>
      <c r="C19" s="24" t="n"/>
      <c r="D19" s="7" t="inlineStr">
        <is>
          <t>El fantasma se mueve con las teclas; no se abre el carrusel.</t>
        </is>
      </c>
      <c r="E19" s="24" t="n"/>
    </row>
    <row r="20" ht="29.4" customHeight="1">
      <c r="A20" s="8" t="n">
        <v>2</v>
      </c>
      <c r="B20" s="7" t="inlineStr">
        <is>
          <t>Pausar y reanudar con ESC, y observar el fantasma.</t>
        </is>
      </c>
      <c r="C20" s="24" t="n"/>
      <c r="D20" s="18" t="inlineStr">
        <is>
          <t>El fantasma del jugador sigue siendo el Espectro (translúcido): el tipo no cambia durante la partida.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6.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CP-074</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 → el fantasma bajó y giró a la derecha (celda 4,6); con W A subió y giró a la izquierda (celda 4,3). Precondición preparada por script (posiciones y fantasmas de la IA retirados) para aislar la condición.</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0" ht="16.2" customHeight="1">
      <c r="A10" s="8" t="n"/>
      <c r="B10" s="7" t="n"/>
      <c r="C10" s="24" t="n"/>
      <c r="D10" s="18" t="inlineStr">
        <is>
          <t>Fantasma:</t>
        </is>
      </c>
      <c r="E10" s="7" t="inlineStr">
        <is>
          <t>Clásico</t>
        </is>
      </c>
    </row>
    <row r="12">
      <c r="A12" s="13" t="inlineStr">
        <is>
          <t>Título del CP</t>
        </is>
      </c>
      <c r="B12" s="34" t="inlineStr">
        <is>
          <t>Control del fantasma con flechas y WASD</t>
        </is>
      </c>
      <c r="C12" s="43" t="n"/>
      <c r="D12" s="43" t="n"/>
      <c r="E12" s="44" t="n"/>
    </row>
    <row r="13">
      <c r="A13" s="45" t="n"/>
      <c r="B13" s="46" t="n"/>
      <c r="C13" s="47" t="n"/>
      <c r="D13" s="47" t="n"/>
      <c r="E13" s="48" t="n"/>
    </row>
    <row r="15">
      <c r="A15" s="13" t="inlineStr">
        <is>
          <t>Historias de Usuario</t>
        </is>
      </c>
      <c r="B15" s="7" t="inlineStr">
        <is>
          <t>HU-24</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Presionar ↓ y luego →.</t>
        </is>
      </c>
      <c r="C19" s="24" t="n"/>
      <c r="D19" s="7" t="inlineStr">
        <is>
          <t>El fantasma baja por la columna 1 y gira a la derecha en el primer cruce.</t>
        </is>
      </c>
      <c r="E19" s="24" t="n"/>
    </row>
    <row r="20" ht="29.4" customHeight="1">
      <c r="A20" s="8" t="n">
        <v>2</v>
      </c>
      <c r="B20" s="7" t="inlineStr">
        <is>
          <t>Presionar W y luego A.</t>
        </is>
      </c>
      <c r="C20" s="24" t="n"/>
      <c r="D20" s="18" t="inlineStr">
        <is>
          <t>El fantasma responde a WASD igual que a las flechas: sube y gira a la izquierda.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7.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CP-075</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Durante 7 s contra el borde superior y los muros de la fila 2, el fantasma nunca entró a un muro ni salió del mapa. Precondición preparada por script (posiciones y fantasmas de la IA retirados)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0" ht="16.2" customHeight="1">
      <c r="A10" s="8" t="n"/>
      <c r="B10" s="7" t="n"/>
      <c r="C10" s="24" t="n"/>
      <c r="D10" s="18" t="inlineStr">
        <is>
          <t>Fantasma:</t>
        </is>
      </c>
      <c r="E10" s="7" t="inlineStr">
        <is>
          <t>Clásico</t>
        </is>
      </c>
    </row>
    <row r="12">
      <c r="A12" s="13" t="inlineStr">
        <is>
          <t>Título del CP</t>
        </is>
      </c>
      <c r="B12" s="34" t="inlineStr">
        <is>
          <t>El fantasma respeta los muros</t>
        </is>
      </c>
      <c r="C12" s="43" t="n"/>
      <c r="D12" s="43" t="n"/>
      <c r="E12" s="44" t="n"/>
    </row>
    <row r="13">
      <c r="A13" s="45" t="n"/>
      <c r="B13" s="46" t="n"/>
      <c r="C13" s="47" t="n"/>
      <c r="D13" s="47" t="n"/>
      <c r="E13" s="48" t="n"/>
    </row>
    <row r="15">
      <c r="A15" s="13" t="inlineStr">
        <is>
          <t>Historias de Usuario</t>
        </is>
      </c>
      <c r="B15" s="7" t="inlineStr">
        <is>
          <t>HU-24</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Desde la aparición, presionar ↑ durante 3 s (borde superior).</t>
        </is>
      </c>
      <c r="C19" s="24" t="n"/>
      <c r="D19" s="7" t="inlineStr">
        <is>
          <t>El fantasma no sale del mapa.</t>
        </is>
      </c>
      <c r="E19" s="24" t="n"/>
    </row>
    <row r="20" ht="29.4" customHeight="1">
      <c r="A20" s="8" t="n">
        <v>2</v>
      </c>
      <c r="B20" s="7" t="inlineStr">
        <is>
          <t>Presionar ← y luego → contra el muro interior de la fila 2, durante 3 s cada uno.</t>
        </is>
      </c>
      <c r="C20" s="24" t="n"/>
      <c r="D20" s="18" t="inlineStr">
        <is>
          <t>Sin usar habilidades, el fantasma nunca entra a un muro ni sale del mapa.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8.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CP-076</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En 10 s sin teclas Pacman consumió 39 esferas; los 3 fantasmas de la IA se movieron y el del jugador quedó quieto.</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1, sin tocar el teclado.</t>
        </is>
      </c>
      <c r="C9" s="24" t="n"/>
      <c r="D9" s="18" t="inlineStr">
        <is>
          <t>Navegador:</t>
        </is>
      </c>
      <c r="E9" s="7" t="inlineStr">
        <is>
          <t>Chromium 141 de escritorio</t>
        </is>
      </c>
    </row>
    <row r="11">
      <c r="A11" s="13" t="inlineStr">
        <is>
          <t>Título del CP</t>
        </is>
      </c>
      <c r="B11" s="34" t="inlineStr">
        <is>
          <t>Pacman y los demás fantasmas bajo IA</t>
        </is>
      </c>
      <c r="C11" s="43" t="n"/>
      <c r="D11" s="43" t="n"/>
      <c r="E11" s="44" t="n"/>
    </row>
    <row r="12">
      <c r="A12" s="45" t="n"/>
      <c r="B12" s="46" t="n"/>
      <c r="C12" s="47" t="n"/>
      <c r="D12" s="47" t="n"/>
      <c r="E12" s="48" t="n"/>
    </row>
    <row r="14">
      <c r="A14" s="13" t="inlineStr">
        <is>
          <t>Historias de Usuario</t>
        </is>
      </c>
      <c r="B14" s="7" t="inlineStr">
        <is>
          <t>HU-24</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Observar 10 s sin presionar teclas.</t>
        </is>
      </c>
      <c r="C18" s="24" t="n"/>
      <c r="D18" s="7" t="inlineStr">
        <is>
          <t>Pacman se mueve solo y consume esferas; el contador de esferas baja.</t>
        </is>
      </c>
      <c r="E18" s="24" t="n"/>
    </row>
    <row r="19" ht="29.4" customHeight="1">
      <c r="A19" s="8" t="n">
        <v>2</v>
      </c>
      <c r="B19" s="7" t="inlineStr">
        <is>
          <t>Observar a los otros tres fantasmas.</t>
        </is>
      </c>
      <c r="C19" s="24" t="n"/>
      <c r="D19" s="18" t="inlineStr">
        <is>
          <t>Pacman y los otros tres fantasmas se mueven de forma autónoma; el fantasma del jugador queda quieto.</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79.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CP-077</t>
        </is>
      </c>
      <c r="C1" s="13" t="inlineStr">
        <is>
          <t>Descripción / Funcionalidad</t>
        </is>
      </c>
      <c r="D1" s="18" t="inlineStr">
        <is>
          <t>HU-25 · Derrotar a Pacman para completar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Vidas de Pacman 3 → 2, puntaje +500; Pacman volvió a su posición inicial (7,8) y el fantasma a (1,1); las esferas consumidas siguen consumidas (86 → 86 restantes).</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1, Pacman sin PowerUp, varias esferas ya consumidas.</t>
        </is>
      </c>
      <c r="C9" s="24" t="n"/>
      <c r="D9" s="18" t="inlineStr">
        <is>
          <t>Navegador:</t>
        </is>
      </c>
      <c r="E9" s="7" t="inlineStr">
        <is>
          <t>Chromium 141 de escritorio</t>
        </is>
      </c>
    </row>
    <row r="11">
      <c r="A11" s="13" t="inlineStr">
        <is>
          <t>Título del CP</t>
        </is>
      </c>
      <c r="B11" s="34" t="inlineStr">
        <is>
          <t>Derrota de Pacman y reinicio del nivel</t>
        </is>
      </c>
      <c r="C11" s="43" t="n"/>
      <c r="D11" s="43" t="n"/>
      <c r="E11" s="44" t="n"/>
    </row>
    <row r="12">
      <c r="A12" s="45" t="n"/>
      <c r="B12" s="46" t="n"/>
      <c r="C12" s="47" t="n"/>
      <c r="D12" s="47" t="n"/>
      <c r="E12" s="48" t="n"/>
    </row>
    <row r="14">
      <c r="A14" s="13" t="inlineStr">
        <is>
          <t>Historias de Usuario</t>
        </is>
      </c>
      <c r="B14" s="7" t="inlineStr">
        <is>
          <t>HU-25</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Anotar vidas de Pacman, puntaje y esferas restantes.</t>
        </is>
      </c>
      <c r="C18" s="24" t="n"/>
      <c r="D18" s="7" t="inlineStr">
        <is>
          <t>Valores de referencia anotados (vidas 3).</t>
        </is>
      </c>
      <c r="E18" s="24" t="n"/>
    </row>
    <row r="19" ht="29.4" customHeight="1">
      <c r="A19" s="8" t="n">
        <v>2</v>
      </c>
      <c r="B19" s="7" t="inlineStr">
        <is>
          <t>Llevar al fantasma del jugador hasta tocar a Pacman.</t>
        </is>
      </c>
      <c r="C19" s="24" t="n"/>
      <c r="D19" s="7" t="inlineStr">
        <is>
          <t>Pacman pierde una vida (3 → 2) y el jugador suma 500 puntos.</t>
        </is>
      </c>
      <c r="E19" s="24" t="n"/>
    </row>
    <row r="20" ht="42.59999999999999" customHeight="1">
      <c r="A20" s="8" t="n">
        <v>3</v>
      </c>
      <c r="B20" s="7" t="inlineStr">
        <is>
          <t>Observar el mapa al reanudarse.</t>
        </is>
      </c>
      <c r="C20" s="24" t="n"/>
      <c r="D20" s="18" t="inlineStr">
        <is>
          <t>Todos los personajes vuelven a su posición inicial; las esferas consumidas siguen consumidas y el contador de esferas no cambia.</t>
        </is>
      </c>
      <c r="E20" s="24" t="n"/>
    </row>
    <row r="21" ht="24" customHeight="1">
      <c r="A21" s="21" t="inlineStr">
        <is>
          <t>El caso se aprueba solo si se cumple todo el resultado esperado del último paso (en negrita); si cualquier parte no se cumple, se registra como Fallido.</t>
        </is>
      </c>
    </row>
  </sheetData>
  <mergeCells count="25">
    <mergeCell ref="D20:E20"/>
    <mergeCell ref="B7:C7"/>
    <mergeCell ref="D1:E1"/>
    <mergeCell ref="D19:E19"/>
    <mergeCell ref="B11:E12"/>
    <mergeCell ref="B18:C18"/>
    <mergeCell ref="D2:E2"/>
    <mergeCell ref="B17:C17"/>
    <mergeCell ref="B8:C8"/>
    <mergeCell ref="D17:E17"/>
    <mergeCell ref="A3:B3"/>
    <mergeCell ref="A21:E21"/>
    <mergeCell ref="G1:L1"/>
    <mergeCell ref="D7:E7"/>
    <mergeCell ref="B19:C19"/>
    <mergeCell ref="D4:E4"/>
    <mergeCell ref="D18:E18"/>
    <mergeCell ref="B9:C9"/>
    <mergeCell ref="D3:E3"/>
    <mergeCell ref="G6:L7"/>
    <mergeCell ref="D15:E15"/>
    <mergeCell ref="B20:C20"/>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0.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CP-078</t>
        </is>
      </c>
      <c r="C1" s="13" t="inlineStr">
        <is>
          <t>Descripción / Funcionalidad</t>
        </is>
      </c>
      <c r="D1" s="18" t="inlineStr">
        <is>
          <t>HU-25 · Derrotar a Pacman para completar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Contador visible: 3; tras el toque de un fantasma de la IA: 3; tras el toque del jugador: 2.</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1">
      <c r="A11" s="13" t="inlineStr">
        <is>
          <t>Título del CP</t>
        </is>
      </c>
      <c r="B11" s="34" t="inlineStr">
        <is>
          <t>Contador de derrotas de Pacman</t>
        </is>
      </c>
      <c r="C11" s="43" t="n"/>
      <c r="D11" s="43" t="n"/>
      <c r="E11" s="44" t="n"/>
    </row>
    <row r="12">
      <c r="A12" s="45" t="n"/>
      <c r="B12" s="46" t="n"/>
      <c r="C12" s="47" t="n"/>
      <c r="D12" s="47" t="n"/>
      <c r="E12" s="48" t="n"/>
    </row>
    <row r="14">
      <c r="A14" s="13" t="inlineStr">
        <is>
          <t>Historias de Usuario</t>
        </is>
      </c>
      <c r="B14" s="7" t="inlineStr">
        <is>
          <t>HU-25</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Observar la barra inferior.</t>
        </is>
      </c>
      <c r="C18" s="24" t="n"/>
      <c r="D18" s="7" t="inlineStr">
        <is>
          <t>Se muestra el contador «Vidas de Pacman» con 3 íconos.</t>
        </is>
      </c>
      <c r="E18" s="24" t="n"/>
    </row>
    <row r="19" ht="16.2" customHeight="1">
      <c r="A19" s="8" t="n">
        <v>2</v>
      </c>
      <c r="B19" s="7" t="inlineStr">
        <is>
          <t>Esperar a que un fantasma de la IA toque a Pacman.</t>
        </is>
      </c>
      <c r="C19" s="24" t="n"/>
      <c r="D19" s="7" t="inlineStr">
        <is>
          <t>El contador no cambia.</t>
        </is>
      </c>
      <c r="E19" s="24" t="n"/>
    </row>
    <row r="20" ht="29.4" customHeight="1">
      <c r="A20" s="8" t="n">
        <v>3</v>
      </c>
      <c r="B20" s="7" t="inlineStr">
        <is>
          <t>Tocar a Pacman con el fantasma del jugador.</t>
        </is>
      </c>
      <c r="C20" s="24" t="n"/>
      <c r="D20" s="18" t="inlineStr">
        <is>
          <t>El contador baja solo con las derrotas producidas por el jugador: queda en 2.</t>
        </is>
      </c>
      <c r="E20" s="24" t="n"/>
    </row>
    <row r="21" ht="24" customHeight="1">
      <c r="A21" s="21" t="inlineStr">
        <is>
          <t>El caso se aprueba solo si se cumple todo el resultado esperado del último paso (en negrita); si cualquier parte no se cumple, se registra como Fallido.</t>
        </is>
      </c>
    </row>
  </sheetData>
  <mergeCells count="25">
    <mergeCell ref="D20:E20"/>
    <mergeCell ref="B7:C7"/>
    <mergeCell ref="D1:E1"/>
    <mergeCell ref="D19:E19"/>
    <mergeCell ref="B11:E12"/>
    <mergeCell ref="B18:C18"/>
    <mergeCell ref="D2:E2"/>
    <mergeCell ref="B17:C17"/>
    <mergeCell ref="B8:C8"/>
    <mergeCell ref="D17:E17"/>
    <mergeCell ref="A3:B3"/>
    <mergeCell ref="A21:E21"/>
    <mergeCell ref="G1:L1"/>
    <mergeCell ref="D7:E7"/>
    <mergeCell ref="B19:C19"/>
    <mergeCell ref="D4:E4"/>
    <mergeCell ref="D18:E18"/>
    <mergeCell ref="B9:C9"/>
    <mergeCell ref="D3:E3"/>
    <mergeCell ref="G6:L7"/>
    <mergeCell ref="D15:E15"/>
    <mergeCell ref="B20:C20"/>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1.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CP-079</t>
        </is>
      </c>
      <c r="C1" s="13" t="inlineStr">
        <is>
          <t>Descripción / Funcionalidad</t>
        </is>
      </c>
      <c r="D1" s="18" t="inlineStr">
        <is>
          <t>HU-25 · Derrotar a Pacman para completar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Tercera derrota: el nivel se completó y se mostró el resultado; a los 3 s empezó el nivel 2 con 3 vidas de Pacman. (Vidas previas fijadas en 1 por script.)</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1, Pacman con 1 vida en el nivel.</t>
        </is>
      </c>
      <c r="C9" s="24" t="n"/>
      <c r="D9" s="18" t="inlineStr">
        <is>
          <t>Navegador:</t>
        </is>
      </c>
      <c r="E9" s="7" t="inlineStr">
        <is>
          <t>Chromium 141 de escritorio</t>
        </is>
      </c>
    </row>
    <row r="11">
      <c r="A11" s="13" t="inlineStr">
        <is>
          <t>Título del CP</t>
        </is>
      </c>
      <c r="B11" s="34" t="inlineStr">
        <is>
          <t>Nivel completado con 3 derrotas</t>
        </is>
      </c>
      <c r="C11" s="43" t="n"/>
      <c r="D11" s="43" t="n"/>
      <c r="E11" s="44" t="n"/>
    </row>
    <row r="12">
      <c r="A12" s="45" t="n"/>
      <c r="B12" s="46" t="n"/>
      <c r="C12" s="47" t="n"/>
      <c r="D12" s="47" t="n"/>
      <c r="E12" s="48" t="n"/>
    </row>
    <row r="14">
      <c r="A14" s="13" t="inlineStr">
        <is>
          <t>Historias de Usuario</t>
        </is>
      </c>
      <c r="B14" s="7" t="inlineStr">
        <is>
          <t>HU-25</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Tocar a Pacman con el fantasma del jugador por tercera vez en el nivel.</t>
        </is>
      </c>
      <c r="C18" s="24" t="n"/>
      <c r="D18" s="7" t="inlineStr">
        <is>
          <t>El contador llega a 0, el nivel se completa y se muestra el resultado del nivel.</t>
        </is>
      </c>
      <c r="E18" s="24" t="n"/>
    </row>
    <row r="19" ht="29.4" customHeight="1">
      <c r="A19" s="8" t="n">
        <v>2</v>
      </c>
      <c r="B19" s="7" t="inlineStr">
        <is>
          <t>Esperar 3 s.</t>
        </is>
      </c>
      <c r="C19" s="24" t="n"/>
      <c r="D19" s="18" t="inlineStr">
        <is>
          <t>Empieza el nivel 2 con el contador de Pacman de nuevo en 3.</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CP-080</t>
        </is>
      </c>
      <c r="C1" s="13" t="inlineStr">
        <is>
          <t>Descripción / Funcionalidad</t>
        </is>
      </c>
      <c r="D1" s="18" t="inlineStr">
        <is>
          <t>HU-26 · Perder si Pacman completa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1 derrota de Pacman en el nivel (2 vidas), Pacman consumió la última esfera: Game Over con el puntaje y «Volver a jugar». (Mapa reducido a una esfera por script.)</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nivel 1, Pacman con 2 vidas (ya derrotado una vez), quedando pocas esferas.</t>
        </is>
      </c>
      <c r="C9" s="24" t="n"/>
      <c r="D9" s="18" t="inlineStr">
        <is>
          <t>Navegador:</t>
        </is>
      </c>
      <c r="E9" s="7" t="inlineStr">
        <is>
          <t>Chromium 141 de escritorio</t>
        </is>
      </c>
    </row>
    <row r="11">
      <c r="A11" s="13" t="inlineStr">
        <is>
          <t>Título del CP</t>
        </is>
      </c>
      <c r="B11" s="34" t="inlineStr">
        <is>
          <t>Game Over si Pacman consume la última esfera</t>
        </is>
      </c>
      <c r="C11" s="43" t="n"/>
      <c r="D11" s="43" t="n"/>
      <c r="E11" s="44" t="n"/>
    </row>
    <row r="12">
      <c r="A12" s="45" t="n"/>
      <c r="B12" s="46" t="n"/>
      <c r="C12" s="47" t="n"/>
      <c r="D12" s="47" t="n"/>
      <c r="E12" s="48" t="n"/>
    </row>
    <row r="14">
      <c r="A14" s="13" t="inlineStr">
        <is>
          <t>Historias de Usuario</t>
        </is>
      </c>
      <c r="B14" s="7" t="inlineStr">
        <is>
          <t>HU-26</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No interferir hasta que Pacman consuma la última esfera.</t>
        </is>
      </c>
      <c r="C18" s="24" t="n"/>
      <c r="D18" s="7" t="inlineStr">
        <is>
          <t>La partida termina aunque el jugador lleve una derrota de Pacman en el nivel.</t>
        </is>
      </c>
      <c r="E18" s="24" t="n"/>
    </row>
    <row r="19" ht="29.4" customHeight="1">
      <c r="A19" s="8" t="n">
        <v>2</v>
      </c>
      <c r="B19" s="7" t="inlineStr">
        <is>
          <t>Observar la pantalla.</t>
        </is>
      </c>
      <c r="C19" s="24" t="n"/>
      <c r="D19" s="18" t="inlineStr">
        <is>
          <t>Se muestra la pantalla de Game Over con el puntaje obtenido y la acción de volver a jugar.</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3.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CP-081</t>
        </is>
      </c>
      <c r="C1" s="13" t="inlineStr">
        <is>
          <t>Descripción / Funcionalidad</t>
        </is>
      </c>
      <c r="D1" s="18" t="inlineStr">
        <is>
          <t>HU-27 · Ser comido por Pacman con el PowerUp activo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Pacman consumió una esfera grande (ubicada junto a él por script) y el fantasma del jugador pasó al diseño vulnerable; al tocar a Pacman no lo derrotó (vidas 3 → 3; el fantasma fue comido: True).</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1">
      <c r="A11" s="13" t="inlineStr">
        <is>
          <t>Título del CP</t>
        </is>
      </c>
      <c r="B11" s="34" t="inlineStr">
        <is>
          <t>Vulnerabilidad durante el PowerUp de Pacman</t>
        </is>
      </c>
      <c r="C11" s="43" t="n"/>
      <c r="D11" s="43" t="n"/>
      <c r="E11" s="44" t="n"/>
    </row>
    <row r="12">
      <c r="A12" s="45" t="n"/>
      <c r="B12" s="46" t="n"/>
      <c r="C12" s="47" t="n"/>
      <c r="D12" s="47" t="n"/>
      <c r="E12" s="48" t="n"/>
    </row>
    <row r="14">
      <c r="A14" s="13" t="inlineStr">
        <is>
          <t>Historias de Usuario</t>
        </is>
      </c>
      <c r="B14" s="7" t="inlineStr">
        <is>
          <t>HU-27</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16.2" customHeight="1">
      <c r="A18" s="8" t="n">
        <v>1</v>
      </c>
      <c r="B18" s="7" t="inlineStr">
        <is>
          <t>Esperar a que Pacman consuma una esfera grande.</t>
        </is>
      </c>
      <c r="C18" s="24" t="n"/>
      <c r="D18" s="7" t="inlineStr">
        <is>
          <t>El fantasma del jugador cambia al diseño vulnerable.</t>
        </is>
      </c>
      <c r="E18" s="24" t="n"/>
    </row>
    <row r="19" ht="29.4" customHeight="1">
      <c r="A19" s="8" t="n">
        <v>2</v>
      </c>
      <c r="B19" s="7" t="inlineStr">
        <is>
          <t>Llevar al fantasma del jugador a tocar a Pacman.</t>
        </is>
      </c>
      <c r="C19" s="24" t="n"/>
      <c r="D19" s="18" t="inlineStr">
        <is>
          <t>No derrota a Pacman: el contador de vidas de Pacman no cambia.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4.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CP-082</t>
        </is>
      </c>
      <c r="C1" s="13" t="inlineStr">
        <is>
          <t>Descripción / Funcionalidad</t>
        </is>
      </c>
      <c r="D1" s="18" t="inlineStr">
        <is>
          <t>HU-27 · Ser comido por Pacman con el PowerUp activo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Clásico: reapareció a los 5.03 s; Naval: a los 8.02 s. Durante la espera se ve «Reaparecés en 5» y el fantasma queda en (1,1) sin responder al teclado.</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Dos partidas en modo GhostMan: con el Clásico y con el Naval. PowerUp de Pacman activo.</t>
        </is>
      </c>
      <c r="C9" s="24" t="n"/>
      <c r="D9" s="18" t="inlineStr">
        <is>
          <t>Navegador:</t>
        </is>
      </c>
      <c r="E9" s="7" t="inlineStr">
        <is>
          <t>Chromium 141 de escritorio</t>
        </is>
      </c>
    </row>
    <row r="11">
      <c r="A11" s="13" t="inlineStr">
        <is>
          <t>Título del CP</t>
        </is>
      </c>
      <c r="B11" s="34" t="inlineStr">
        <is>
          <t>Reaparición del fantasma del jugador</t>
        </is>
      </c>
      <c r="C11" s="43" t="n"/>
      <c r="D11" s="43" t="n"/>
      <c r="E11" s="44" t="n"/>
    </row>
    <row r="12">
      <c r="A12" s="45" t="n"/>
      <c r="B12" s="46" t="n"/>
      <c r="C12" s="47" t="n"/>
      <c r="D12" s="47" t="n"/>
      <c r="E12" s="48" t="n"/>
    </row>
    <row r="14">
      <c r="A14" s="13" t="inlineStr">
        <is>
          <t>Historias de Usuario</t>
        </is>
      </c>
      <c r="B14" s="7" t="inlineStr">
        <is>
          <t>HU-27</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42.59999999999999" customHeight="1">
      <c r="A18" s="8" t="n">
        <v>1</v>
      </c>
      <c r="B18" s="7" t="inlineStr">
        <is>
          <t>Con el Clásico, dejarse comer por Pacman y cronometrar.</t>
        </is>
      </c>
      <c r="C18" s="24" t="n"/>
      <c r="D18" s="7" t="inlineStr">
        <is>
          <t>El fantasma vuelve a su punto de reaparición, se muestra la cuenta regresiva y reaparece a los 5 s; durante ese tiempo no responde al teclado.</t>
        </is>
      </c>
      <c r="E18" s="24" t="n"/>
    </row>
    <row r="19" ht="16.2" customHeight="1">
      <c r="A19" s="8" t="n">
        <v>2</v>
      </c>
      <c r="B19" s="7" t="inlineStr">
        <is>
          <t>Repetir con el Naval.</t>
        </is>
      </c>
      <c r="C19" s="24" t="n"/>
      <c r="D19" s="18" t="inlineStr">
        <is>
          <t>El Naval reaparece a los 8 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5.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CP-083</t>
        </is>
      </c>
      <c r="C1" s="13" t="inlineStr">
        <is>
          <t>Descripción / Funcionalidad</t>
        </is>
      </c>
      <c r="D1" s="18" t="inlineStr">
        <is>
          <t>HU-27 · Ser comido por Pacman con el PowerUp activo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Comido el fantasma: vidas de Pacman 3 → 3; Pacman siguió desde (4, 3) (no volvió al inicio); esferas 96 → 96. El nivel no se reinició.</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PowerUp de Pacman activo.</t>
        </is>
      </c>
      <c r="C9" s="24" t="n"/>
      <c r="D9" s="18" t="inlineStr">
        <is>
          <t>Navegador:</t>
        </is>
      </c>
      <c r="E9" s="7" t="inlineStr">
        <is>
          <t>Chromium 141 de escritorio</t>
        </is>
      </c>
    </row>
    <row r="11">
      <c r="A11" s="13" t="inlineStr">
        <is>
          <t>Título del CP</t>
        </is>
      </c>
      <c r="B11" s="34" t="inlineStr">
        <is>
          <t>Ser comido no descuenta vidas ni reinicia el nivel</t>
        </is>
      </c>
      <c r="C11" s="43" t="n"/>
      <c r="D11" s="43" t="n"/>
      <c r="E11" s="44" t="n"/>
    </row>
    <row r="12">
      <c r="A12" s="45" t="n"/>
      <c r="B12" s="46" t="n"/>
      <c r="C12" s="47" t="n"/>
      <c r="D12" s="47" t="n"/>
      <c r="E12" s="48" t="n"/>
    </row>
    <row r="14">
      <c r="A14" s="13" t="inlineStr">
        <is>
          <t>Historias de Usuario</t>
        </is>
      </c>
      <c r="B14" s="7" t="inlineStr">
        <is>
          <t>HU-27</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Anotar vidas de Pacman, esferas restantes y posición de Pacman.</t>
        </is>
      </c>
      <c r="C18" s="24" t="n"/>
      <c r="D18" s="7" t="inlineStr">
        <is>
          <t>Valores anotados.</t>
        </is>
      </c>
      <c r="E18" s="24" t="n"/>
    </row>
    <row r="19" ht="29.4" customHeight="1">
      <c r="A19" s="8" t="n">
        <v>2</v>
      </c>
      <c r="B19" s="7" t="inlineStr">
        <is>
          <t>Dejarse comer por Pacman.</t>
        </is>
      </c>
      <c r="C19" s="24" t="n"/>
      <c r="D19" s="18" t="inlineStr">
        <is>
          <t>Las vidas de Pacman, las esferas y la posición de Pacman no cambian: el nivel no se reinicia.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6.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CP-084</t>
        </is>
      </c>
      <c r="C1" s="13" t="inlineStr">
        <is>
          <t>Descripción / Funcionalidad</t>
        </is>
      </c>
      <c r="D1" s="18" t="inlineStr">
        <is>
          <t>HU-28 · Atravesar una pared con el Espectro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2, espectro en (1,7) mirando a la derecha con el muro de una celda (1,8): atravesó y quedó en (1, 10), del otro lado. Precondición preparada por script (posiciones y fantasmas de la IA retirados) para aislar la condición.</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con el Espectro, nivel 2, detenido junto a un muro de una celda con camino del otro lado.</t>
        </is>
      </c>
      <c r="C9" s="24" t="n"/>
      <c r="D9" s="18" t="inlineStr">
        <is>
          <t>Navegador:</t>
        </is>
      </c>
      <c r="E9" s="7" t="inlineStr">
        <is>
          <t>Chromium 141 de escritorio</t>
        </is>
      </c>
    </row>
    <row r="10" ht="16.2" customHeight="1">
      <c r="A10" s="8" t="n"/>
      <c r="B10" s="7" t="n"/>
      <c r="C10" s="24" t="n"/>
      <c r="D10" s="18" t="inlineStr">
        <is>
          <t>Fantasma:</t>
        </is>
      </c>
      <c r="E10" s="7" t="inlineStr">
        <is>
          <t>Espectro</t>
        </is>
      </c>
    </row>
    <row r="12">
      <c r="A12" s="13" t="inlineStr">
        <is>
          <t>Título del CP</t>
        </is>
      </c>
      <c r="B12" s="34" t="inlineStr">
        <is>
          <t>Espectro: atravesar una pared</t>
        </is>
      </c>
      <c r="C12" s="43" t="n"/>
      <c r="D12" s="43" t="n"/>
      <c r="E12" s="44" t="n"/>
    </row>
    <row r="13">
      <c r="A13" s="45" t="n"/>
      <c r="B13" s="46" t="n"/>
      <c r="C13" s="47" t="n"/>
      <c r="D13" s="47" t="n"/>
      <c r="E13" s="48" t="n"/>
    </row>
    <row r="15">
      <c r="A15" s="13" t="inlineStr">
        <is>
          <t>Historias de Usuario</t>
        </is>
      </c>
      <c r="B15" s="7" t="inlineStr">
        <is>
          <t>HU-28</t>
        </is>
      </c>
      <c r="C15" s="13" t="inlineStr">
        <is>
          <t>Épica</t>
        </is>
      </c>
      <c r="D15" s="7" t="inlineStr">
        <is>
          <t>E7 — Poderes de los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16.2" customHeight="1">
      <c r="A19" s="8" t="n">
        <v>1</v>
      </c>
      <c r="B19" s="7" t="inlineStr">
        <is>
          <t>Presionar la barra espaciadora.</t>
        </is>
      </c>
      <c r="C19" s="24" t="n"/>
      <c r="D19" s="7" t="inlineStr">
        <is>
          <t>El espectro entra al muro en su dirección de avance.</t>
        </is>
      </c>
      <c r="E19" s="24" t="n"/>
    </row>
    <row r="20" ht="29.4" customHeight="1">
      <c r="A20" s="8" t="n">
        <v>2</v>
      </c>
      <c r="B20" s="7" t="inlineStr">
        <is>
          <t>Observar dónde termina.</t>
        </is>
      </c>
      <c r="C20" s="24" t="n"/>
      <c r="D20" s="18" t="inlineStr">
        <is>
          <t>Atraviesa una sola pared y queda en la celda transitable del otro lado.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7.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CP-085</t>
        </is>
      </c>
      <c r="C1" s="13" t="inlineStr">
        <is>
          <t>Descripción / Funcionalidad</t>
        </is>
      </c>
      <c r="D1" s="18" t="inlineStr">
        <is>
          <t>HU-28 · Atravesar una pared con el Espectro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95.3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Tras cruzar, el contacto con Pacman dentro de los 3 s no le quitó vidas (3 → 3); el espectro se ve translúcido y punteado. Espacio en cooldown no tuvo efecto; la estrella volvió a los 10 s. Precondición preparada por script (posiciones y fantasmas de la IA retirados) para aislar la condición.</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Igual que CP-084.</t>
        </is>
      </c>
      <c r="C9" s="24" t="n"/>
      <c r="D9" s="18" t="inlineStr">
        <is>
          <t>Navegador:</t>
        </is>
      </c>
      <c r="E9" s="7" t="inlineStr">
        <is>
          <t>Chromium 141 de escritorio</t>
        </is>
      </c>
    </row>
    <row r="11">
      <c r="A11" s="13" t="inlineStr">
        <is>
          <t>Título del CP</t>
        </is>
      </c>
      <c r="B11" s="34" t="inlineStr">
        <is>
          <t>Espectro: cooldown y estado de gracia</t>
        </is>
      </c>
      <c r="C11" s="43" t="n"/>
      <c r="D11" s="43" t="n"/>
      <c r="E11" s="44" t="n"/>
    </row>
    <row r="12">
      <c r="A12" s="45" t="n"/>
      <c r="B12" s="46" t="n"/>
      <c r="C12" s="47" t="n"/>
      <c r="D12" s="47" t="n"/>
      <c r="E12" s="48" t="n"/>
    </row>
    <row r="14">
      <c r="A14" s="13" t="inlineStr">
        <is>
          <t>Historias de Usuario</t>
        </is>
      </c>
      <c r="B14" s="7" t="inlineStr">
        <is>
          <t>HU-28</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Atravesar el muro y tocar a Pacman dentro de los 3 s siguientes.</t>
        </is>
      </c>
      <c r="C18" s="24" t="n"/>
      <c r="D18" s="7" t="inlineStr">
        <is>
          <t>Pacman no pierde una vida; el espectro se ve translúcido con contorno punteado.</t>
        </is>
      </c>
      <c r="E18" s="24" t="n"/>
    </row>
    <row r="19" ht="29.4" customHeight="1">
      <c r="A19" s="8" t="n">
        <v>2</v>
      </c>
      <c r="B19" s="7" t="inlineStr">
        <is>
          <t>Presionar espacio antes de los 10 s y otra vez a los 10 s.</t>
        </is>
      </c>
      <c r="C19" s="24" t="n"/>
      <c r="D19" s="18" t="inlineStr">
        <is>
          <t>Antes de los 10 s no pasa nada; a los 10 s el poder vuelve a estar disponible.</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8.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CP-086</t>
        </is>
      </c>
      <c r="C1" s="13" t="inlineStr">
        <is>
          <t>Descripción / Funcionalidad</t>
        </is>
      </c>
      <c r="D1" s="18" t="inlineStr">
        <is>
          <t>HU-28 · Atravesar una pared con el Espectro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82.1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1: contra el muro grueso de abajo no atravesó; contra el borde superior no salió del mapa. La estrella siguió disponible en los dos intentos. Precondición preparada por script (posiciones y fantasmas de la IA retirados) para aislar la condición.</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Espectro.</t>
        </is>
      </c>
      <c r="C9" s="24" t="n"/>
      <c r="D9" s="18" t="inlineStr">
        <is>
          <t>Navegador:</t>
        </is>
      </c>
      <c r="E9" s="7" t="inlineStr">
        <is>
          <t>Chromium 141 de escritorio</t>
        </is>
      </c>
    </row>
    <row r="11">
      <c r="A11" s="13" t="inlineStr">
        <is>
          <t>Título del CP</t>
        </is>
      </c>
      <c r="B11" s="34" t="inlineStr">
        <is>
          <t>Espectro: sin destino válido no se activa</t>
        </is>
      </c>
      <c r="C11" s="43" t="n"/>
      <c r="D11" s="43" t="n"/>
      <c r="E11" s="44" t="n"/>
    </row>
    <row r="12">
      <c r="A12" s="45" t="n"/>
      <c r="B12" s="46" t="n"/>
      <c r="C12" s="47" t="n"/>
      <c r="D12" s="47" t="n"/>
      <c r="E12" s="48" t="n"/>
    </row>
    <row r="14">
      <c r="A14" s="13" t="inlineStr">
        <is>
          <t>Historias de Usuario</t>
        </is>
      </c>
      <c r="B14" s="7" t="inlineStr">
        <is>
          <t>HU-28</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Nivel 1: presionar espacio contra un muro interior (2 a 4 celdas de espesor).</t>
        </is>
      </c>
      <c r="C18" s="24" t="n"/>
      <c r="D18" s="7" t="inlineStr">
        <is>
          <t>No atraviesa: no hay celda transitable inmediatamente del otro lado (decisión 26).</t>
        </is>
      </c>
      <c r="E18" s="24" t="n"/>
    </row>
    <row r="19" ht="29.4" customHeight="1">
      <c r="A19" s="8" t="n">
        <v>2</v>
      </c>
      <c r="B19" s="7" t="inlineStr">
        <is>
          <t>Presionar espacio contra el borde del mapa.</t>
        </is>
      </c>
      <c r="C19" s="24" t="n"/>
      <c r="D19" s="18" t="inlineStr">
        <is>
          <t>No sale del mapa y la estrella sigue disponible (el poder no se consumió).</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89.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CP-087</t>
        </is>
      </c>
      <c r="C1" s="13" t="inlineStr">
        <is>
          <t>Descripción / Funcionalidad</t>
        </is>
      </c>
      <c r="D1" s="18" t="inlineStr">
        <is>
          <t>HU-29 · Teletransportarse con el Saltarín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10 saltos; distancias Manhattan [4, 6, 5, 9, 5, 6, 7, 5, 9, 8]; todos a celdas transitables dentro del mapa. (Cooldown anulado por script entre saltos para no esperar 100 s.)</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Saltarín.</t>
        </is>
      </c>
      <c r="C9" s="24" t="n"/>
      <c r="D9" s="18" t="inlineStr">
        <is>
          <t>Navegador:</t>
        </is>
      </c>
      <c r="E9" s="7" t="inlineStr">
        <is>
          <t>Chromium 141 de escritorio</t>
        </is>
      </c>
    </row>
    <row r="10" ht="29.4" customHeight="1">
      <c r="A10" s="8" t="n"/>
      <c r="B10" s="7" t="n"/>
      <c r="C10" s="24" t="n"/>
      <c r="D10" s="18" t="inlineStr">
        <is>
          <t>Radio:</t>
        </is>
      </c>
      <c r="E10" s="7" t="inlineStr">
        <is>
          <t>distancia Manhattan ≤ 10 (decisión 31)</t>
        </is>
      </c>
    </row>
    <row r="12">
      <c r="A12" s="13" t="inlineStr">
        <is>
          <t>Título del CP</t>
        </is>
      </c>
      <c r="B12" s="34" t="inlineStr">
        <is>
          <t>Saltarín: destino dentro del radio y transitable</t>
        </is>
      </c>
      <c r="C12" s="43" t="n"/>
      <c r="D12" s="43" t="n"/>
      <c r="E12" s="44" t="n"/>
    </row>
    <row r="13">
      <c r="A13" s="45" t="n"/>
      <c r="B13" s="46" t="n"/>
      <c r="C13" s="47" t="n"/>
      <c r="D13" s="47" t="n"/>
      <c r="E13" s="48" t="n"/>
    </row>
    <row r="15">
      <c r="A15" s="13" t="inlineStr">
        <is>
          <t>Historias de Usuario</t>
        </is>
      </c>
      <c r="B15" s="7" t="inlineStr">
        <is>
          <t>HU-29</t>
        </is>
      </c>
      <c r="C15" s="13" t="inlineStr">
        <is>
          <t>Épica</t>
        </is>
      </c>
      <c r="D15" s="7" t="inlineStr">
        <is>
          <t>E7 — Poderes de los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Usar el poder 10 veces (esperando el cooldown), anotando origen y destino.</t>
        </is>
      </c>
      <c r="C19" s="24" t="n"/>
      <c r="D19" s="7" t="inlineStr">
        <is>
          <t>Cada salto lleva a otra celda.</t>
        </is>
      </c>
      <c r="E19" s="24" t="n"/>
    </row>
    <row r="20" ht="42.59999999999999" customHeight="1">
      <c r="A20" s="8" t="n">
        <v>2</v>
      </c>
      <c r="B20" s="7" t="inlineStr">
        <is>
          <t>Comparar origen y destino.</t>
        </is>
      </c>
      <c r="C20" s="24" t="n"/>
      <c r="D20" s="18" t="inlineStr">
        <is>
          <t>Todos los destinos están a distancia Manhattan ≤ 10 y son celdas transitables, nunca muros ni fuera del mapa.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CP-088</t>
        </is>
      </c>
      <c r="C1" s="13" t="inlineStr">
        <is>
          <t>Descripción / Funcionalidad</t>
        </is>
      </c>
      <c r="D1" s="18" t="inlineStr">
        <is>
          <t>HU-29 · Teletransportarse con el Saltarín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A los 9 s espacio no hizo nada; el poder volvió a los 9.92 s y saltó.</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Saltarín.</t>
        </is>
      </c>
      <c r="C9" s="24" t="n"/>
      <c r="D9" s="18" t="inlineStr">
        <is>
          <t>Navegador:</t>
        </is>
      </c>
      <c r="E9" s="7" t="inlineStr">
        <is>
          <t>Chromium 141 de escritorio</t>
        </is>
      </c>
    </row>
    <row r="11">
      <c r="A11" s="13" t="inlineStr">
        <is>
          <t>Título del CP</t>
        </is>
      </c>
      <c r="B11" s="34" t="inlineStr">
        <is>
          <t>Saltarín: cooldown de 10 s</t>
        </is>
      </c>
      <c r="C11" s="43" t="n"/>
      <c r="D11" s="43" t="n"/>
      <c r="E11" s="44" t="n"/>
    </row>
    <row r="12">
      <c r="A12" s="45" t="n"/>
      <c r="B12" s="46" t="n"/>
      <c r="C12" s="47" t="n"/>
      <c r="D12" s="47" t="n"/>
      <c r="E12" s="48" t="n"/>
    </row>
    <row r="14">
      <c r="A14" s="13" t="inlineStr">
        <is>
          <t>Historias de Usuario</t>
        </is>
      </c>
      <c r="B14" s="7" t="inlineStr">
        <is>
          <t>HU-29</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Saltar y presionar espacio a los 9 s.</t>
        </is>
      </c>
      <c r="C18" s="24" t="n"/>
      <c r="D18" s="7" t="inlineStr">
        <is>
          <t>No salta.</t>
        </is>
      </c>
      <c r="E18" s="24" t="n"/>
    </row>
    <row r="19" ht="16.2" customHeight="1">
      <c r="A19" s="8" t="n">
        <v>2</v>
      </c>
      <c r="B19" s="7" t="inlineStr">
        <is>
          <t>Presionar espacio a los 10 s.</t>
        </is>
      </c>
      <c r="C19" s="24" t="n"/>
      <c r="D19" s="18" t="inlineStr">
        <is>
          <t>Salta: el poder se reactiva recién a los 10 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1.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CP-089</t>
        </is>
      </c>
      <c r="C1" s="13" t="inlineStr">
        <is>
          <t>Descripción / Funcionalidad</t>
        </is>
      </c>
      <c r="D1" s="18" t="inlineStr">
        <is>
          <t>HU-29 · Teletransportarse con el Saltarín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Repitiendo el salto desde (1,1) con Pacman quieto en (1,3), en el intento 10 el saltarín cayó sobre Pacman: vidas 3 → 2. (Cooldown anulado por script.)</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Saltarín, Pacman sin PowerUp.</t>
        </is>
      </c>
      <c r="C9" s="24" t="n"/>
      <c r="D9" s="18" t="inlineStr">
        <is>
          <t>Navegador:</t>
        </is>
      </c>
      <c r="E9" s="7" t="inlineStr">
        <is>
          <t>Chromium 141 de escritorio</t>
        </is>
      </c>
    </row>
    <row r="11">
      <c r="A11" s="13" t="inlineStr">
        <is>
          <t>Título del CP</t>
        </is>
      </c>
      <c r="B11" s="34" t="inlineStr">
        <is>
          <t>Saltarín: salto sobre Pacman</t>
        </is>
      </c>
      <c r="C11" s="43" t="n"/>
      <c r="D11" s="43" t="n"/>
      <c r="E11" s="44" t="n"/>
    </row>
    <row r="12">
      <c r="A12" s="45" t="n"/>
      <c r="B12" s="46" t="n"/>
      <c r="C12" s="47" t="n"/>
      <c r="D12" s="47" t="n"/>
      <c r="E12" s="48" t="n"/>
    </row>
    <row r="14">
      <c r="A14" s="13" t="inlineStr">
        <is>
          <t>Historias de Usuario</t>
        </is>
      </c>
      <c r="B14" s="7" t="inlineStr">
        <is>
          <t>HU-29</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Saltar hasta que el destino coincida con la celda de Pacman.</t>
        </is>
      </c>
      <c r="C18" s="24" t="n"/>
      <c r="D18" s="7" t="inlineStr">
        <is>
          <t>El fantasma cae sobre Pacman.</t>
        </is>
      </c>
      <c r="E18" s="24" t="n"/>
    </row>
    <row r="19" ht="29.4" customHeight="1">
      <c r="A19" s="8" t="n">
        <v>2</v>
      </c>
      <c r="B19" s="7" t="inlineStr">
        <is>
          <t>Observar el contador.</t>
        </is>
      </c>
      <c r="C19" s="24" t="n"/>
      <c r="D19" s="18" t="inlineStr">
        <is>
          <t>Pacman pierde una vida (derrota producida por el jugador).</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CP-090</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El naval colocó la fruta falsa en (10,8), a 3 celdas de Pacman; Pacman fue por ella, la consumió y perdió una vida (3 → 2); el nivel se reinició (Pacman en (7, 8), fantasma en (1,1)). (Posiciones preparadas por script.)</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Pacman sin PowerUp.</t>
        </is>
      </c>
      <c r="C9" s="24" t="n"/>
      <c r="D9" s="18" t="inlineStr">
        <is>
          <t>Navegador:</t>
        </is>
      </c>
      <c r="E9" s="7" t="inlineStr">
        <is>
          <t>Chromium 141 de escritorio</t>
        </is>
      </c>
    </row>
    <row r="11">
      <c r="A11" s="13" t="inlineStr">
        <is>
          <t>Título del CP</t>
        </is>
      </c>
      <c r="B11" s="34" t="inlineStr">
        <is>
          <t>Naval: fruta falsa consumida por Pacman</t>
        </is>
      </c>
      <c r="C11" s="43" t="n"/>
      <c r="D11" s="43" t="n"/>
      <c r="E11" s="44" t="n"/>
    </row>
    <row r="12">
      <c r="A12" s="45" t="n"/>
      <c r="B12" s="46" t="n"/>
      <c r="C12" s="47" t="n"/>
      <c r="D12" s="47" t="n"/>
      <c r="E12" s="48" t="n"/>
    </row>
    <row r="14">
      <c r="A14" s="13" t="inlineStr">
        <is>
          <t>Historias de Usuario</t>
        </is>
      </c>
      <c r="B14" s="7" t="inlineStr">
        <is>
          <t>HU-30</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16.2" customHeight="1">
      <c r="A18" s="8" t="n">
        <v>1</v>
      </c>
      <c r="B18" s="7" t="inlineStr">
        <is>
          <t>Colocar una fruta falsa en el camino de Pacman.</t>
        </is>
      </c>
      <c r="C18" s="24" t="n"/>
      <c r="D18" s="7" t="inlineStr">
        <is>
          <t>La fruta falsa aparece en la celda del fantasma.</t>
        </is>
      </c>
      <c r="E18" s="24" t="n"/>
    </row>
    <row r="19" ht="16.2" customHeight="1">
      <c r="A19" s="8" t="n">
        <v>2</v>
      </c>
      <c r="B19" s="7" t="inlineStr">
        <is>
          <t>Esperar a que Pacman la consuma.</t>
        </is>
      </c>
      <c r="C19" s="24" t="n"/>
      <c r="D19" s="18" t="inlineStr">
        <is>
          <t>Pacman pierde una vida y el nivel se reinicia.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3.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CP-091</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el PowerUp activo Pacman consumió la fruta falsa: desapareció sin efecto (vidas 3 → 3; puntaje 0 → 0, sin descuento). (Posiciones preparadas por script.)</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PowerUp de Pacman activo.</t>
        </is>
      </c>
      <c r="C9" s="24" t="n"/>
      <c r="D9" s="18" t="inlineStr">
        <is>
          <t>Navegador:</t>
        </is>
      </c>
      <c r="E9" s="7" t="inlineStr">
        <is>
          <t>Chromium 141 de escritorio</t>
        </is>
      </c>
    </row>
    <row r="11">
      <c r="A11" s="13" t="inlineStr">
        <is>
          <t>Título del CP</t>
        </is>
      </c>
      <c r="B11" s="34" t="inlineStr">
        <is>
          <t>Naval: fruta falsa con el PowerUp de Pacman</t>
        </is>
      </c>
      <c r="C11" s="43" t="n"/>
      <c r="D11" s="43" t="n"/>
      <c r="E11" s="44" t="n"/>
    </row>
    <row r="12">
      <c r="A12" s="45" t="n"/>
      <c r="B12" s="46" t="n"/>
      <c r="C12" s="47" t="n"/>
      <c r="D12" s="47" t="n"/>
      <c r="E12" s="48" t="n"/>
    </row>
    <row r="14">
      <c r="A14" s="13" t="inlineStr">
        <is>
          <t>Historias de Usuario</t>
        </is>
      </c>
      <c r="B14" s="7" t="inlineStr">
        <is>
          <t>HU-30</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Colocar una fruta falsa en el camino de Pacman.</t>
        </is>
      </c>
      <c r="C18" s="24" t="n"/>
      <c r="D18" s="7" t="inlineStr">
        <is>
          <t>La fruta aparece.</t>
        </is>
      </c>
      <c r="E18" s="24" t="n"/>
    </row>
    <row r="19" ht="29.4" customHeight="1">
      <c r="A19" s="8" t="n">
        <v>2</v>
      </c>
      <c r="B19" s="7" t="inlineStr">
        <is>
          <t>Esperar a que Pacman la consuma.</t>
        </is>
      </c>
      <c r="C19" s="24" t="n"/>
      <c r="D19" s="18" t="inlineStr">
        <is>
          <t>La fruta desaparece sin efecto: Pacman no pierde vidas y nadie suma puntos (decisión 27).</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4.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CP-092</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Explotó a los 9.92 s; cubrió 9 celdas, todas transitables y a ≤ 3 pasos (máx. Manhattan 3); se vio la cuenta regresiva desde los 7 s.</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t>
        </is>
      </c>
      <c r="C9" s="24" t="n"/>
      <c r="D9" s="18" t="inlineStr">
        <is>
          <t>Navegador:</t>
        </is>
      </c>
      <c r="E9" s="7" t="inlineStr">
        <is>
          <t>Chromium 141 de escritorio</t>
        </is>
      </c>
    </row>
    <row r="10" ht="29.4" customHeight="1">
      <c r="A10" s="8" t="n"/>
      <c r="B10" s="7" t="n"/>
      <c r="C10" s="24" t="n"/>
      <c r="D10" s="18" t="inlineStr">
        <is>
          <t>Radio:</t>
        </is>
      </c>
      <c r="E10" s="7" t="inlineStr">
        <is>
          <t>≤ 3 pasos por celdas transitables (decisión 27)</t>
        </is>
      </c>
    </row>
    <row r="12">
      <c r="A12" s="13" t="inlineStr">
        <is>
          <t>Título del CP</t>
        </is>
      </c>
      <c r="B12" s="34" t="inlineStr">
        <is>
          <t>Naval: explosión a los 10 s</t>
        </is>
      </c>
      <c r="C12" s="43" t="n"/>
      <c r="D12" s="43" t="n"/>
      <c r="E12" s="44" t="n"/>
    </row>
    <row r="13">
      <c r="A13" s="45" t="n"/>
      <c r="B13" s="46" t="n"/>
      <c r="C13" s="47" t="n"/>
      <c r="D13" s="47" t="n"/>
      <c r="E13" s="48" t="n"/>
    </row>
    <row r="15">
      <c r="A15" s="13" t="inlineStr">
        <is>
          <t>Historias de Usuario</t>
        </is>
      </c>
      <c r="B15" s="7" t="inlineStr">
        <is>
          <t>HU-30</t>
        </is>
      </c>
      <c r="C15" s="13" t="inlineStr">
        <is>
          <t>Épica</t>
        </is>
      </c>
      <c r="D15" s="7" t="inlineStr">
        <is>
          <t>E7 — Poderes de los fantasmas</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16.2" customHeight="1">
      <c r="A19" s="8" t="n">
        <v>1</v>
      </c>
      <c r="B19" s="7" t="inlineStr">
        <is>
          <t>Colocar una fruta falsa y cronometrar.</t>
        </is>
      </c>
      <c r="C19" s="24" t="n"/>
      <c r="D19" s="7" t="inlineStr">
        <is>
          <t>A partir de los 7 s se ve la cuenta regresiva.</t>
        </is>
      </c>
      <c r="E19" s="24" t="n"/>
    </row>
    <row r="20" ht="29.4" customHeight="1">
      <c r="A20" s="8" t="n">
        <v>2</v>
      </c>
      <c r="B20" s="7" t="inlineStr">
        <is>
          <t>Observar a los 10 s.</t>
        </is>
      </c>
      <c r="C20" s="24" t="n"/>
      <c r="D20" s="18" t="inlineStr">
        <is>
          <t>Explota cubriendo las celdas a 3 pasos o menos, sin atravesar paredes.</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5.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CP-093</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95.3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A los 3 s no colocó (quedó 1); a los 5 s colocó la segunda (2); con 2 en el mapa, la tercera no se colocó (2) y el poder no se consumió (cooldown 0). (Para el tercer intento el cooldown se anuló por script: con 5 s de cooldown y 10 s de vida, la primera fruta explota justo cuando vuelve el poder.)</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t>
        </is>
      </c>
      <c r="C9" s="24" t="n"/>
      <c r="D9" s="18" t="inlineStr">
        <is>
          <t>Navegador:</t>
        </is>
      </c>
      <c r="E9" s="7" t="inlineStr">
        <is>
          <t>Chromium 141 de escritorio</t>
        </is>
      </c>
    </row>
    <row r="11">
      <c r="A11" s="13" t="inlineStr">
        <is>
          <t>Título del CP</t>
        </is>
      </c>
      <c r="B11" s="34" t="inlineStr">
        <is>
          <t>Naval: máximo de 2 frutas y cooldown de 5 s</t>
        </is>
      </c>
      <c r="C11" s="43" t="n"/>
      <c r="D11" s="43" t="n"/>
      <c r="E11" s="44" t="n"/>
    </row>
    <row r="12">
      <c r="A12" s="45" t="n"/>
      <c r="B12" s="46" t="n"/>
      <c r="C12" s="47" t="n"/>
      <c r="D12" s="47" t="n"/>
      <c r="E12" s="48" t="n"/>
    </row>
    <row r="14">
      <c r="A14" s="13" t="inlineStr">
        <is>
          <t>Historias de Usuario</t>
        </is>
      </c>
      <c r="B14" s="7" t="inlineStr">
        <is>
          <t>HU-30</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Colocar una fruta e intentar otra a los 3 s.</t>
        </is>
      </c>
      <c r="C18" s="24" t="n"/>
      <c r="D18" s="7" t="inlineStr">
        <is>
          <t>No se coloca (cooldown de 5 s).</t>
        </is>
      </c>
      <c r="E18" s="24" t="n"/>
    </row>
    <row r="19" ht="29.4" customHeight="1">
      <c r="A19" s="8" t="n">
        <v>2</v>
      </c>
      <c r="B19" s="7" t="inlineStr">
        <is>
          <t>Colocar otra a los 5 s e intentar una tercera a los 11 s, en otra celda, antes de que exploten.</t>
        </is>
      </c>
      <c r="C19" s="24" t="n"/>
      <c r="D19" s="18" t="inlineStr">
        <is>
          <t>Nunca hay más de 2 frutas falsas en el mapa.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CP-094</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Fruta real (cereza roja) en (1,6) y fruta falsa en (1,4): se distinguen a la vista (ver captura CP-094.png).</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nivel 3 (hay frutas reales).</t>
        </is>
      </c>
      <c r="C9" s="24" t="n"/>
      <c r="D9" s="18" t="inlineStr">
        <is>
          <t>Navegador:</t>
        </is>
      </c>
      <c r="E9" s="7" t="inlineStr">
        <is>
          <t>Chromium 141 de escritorio</t>
        </is>
      </c>
    </row>
    <row r="11">
      <c r="A11" s="13" t="inlineStr">
        <is>
          <t>Título del CP</t>
        </is>
      </c>
      <c r="B11" s="34" t="inlineStr">
        <is>
          <t>Naval: fruta falsa distinguible de la real</t>
        </is>
      </c>
      <c r="C11" s="43" t="n"/>
      <c r="D11" s="43" t="n"/>
      <c r="E11" s="44" t="n"/>
    </row>
    <row r="12">
      <c r="A12" s="45" t="n"/>
      <c r="B12" s="46" t="n"/>
      <c r="C12" s="47" t="n"/>
      <c r="D12" s="47" t="n"/>
      <c r="E12" s="48" t="n"/>
    </row>
    <row r="14">
      <c r="A14" s="13" t="inlineStr">
        <is>
          <t>Historias de Usuario</t>
        </is>
      </c>
      <c r="B14" s="7" t="inlineStr">
        <is>
          <t>HU-30</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Colocar una fruta falsa cerca de una real.</t>
        </is>
      </c>
      <c r="C18" s="24" t="n"/>
      <c r="D18" s="7" t="inlineStr">
        <is>
          <t>Las dos se ven en el mapa.</t>
        </is>
      </c>
      <c r="E18" s="24" t="n"/>
    </row>
    <row r="19" ht="16.2" customHeight="1">
      <c r="A19" s="8" t="n">
        <v>2</v>
      </c>
      <c r="B19" s="7" t="inlineStr">
        <is>
          <t>Compararlas.</t>
        </is>
      </c>
      <c r="C19" s="24" t="n"/>
      <c r="D19" s="18" t="inlineStr">
        <is>
          <t>Se diferencian visualmente.</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7.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CP-095</t>
        </is>
      </c>
      <c r="C1" s="13" t="inlineStr">
        <is>
          <t>Descripción / Funcionalidad</t>
        </is>
      </c>
      <c r="D1" s="18" t="inlineStr">
        <is>
          <t>HU-31 · Hacer un dash con el Acelerado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Desde (1,4) con pasillo libre avanzó 3 celdas (col 7); desde (1,13) con el borde a 2 celdas se detuvo en la última transitable (col 15).</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Acelerado, avanzando por un pasillo.</t>
        </is>
      </c>
      <c r="C9" s="24" t="n"/>
      <c r="D9" s="18" t="inlineStr">
        <is>
          <t>Navegador:</t>
        </is>
      </c>
      <c r="E9" s="7" t="inlineStr">
        <is>
          <t>Chromium 141 de escritorio</t>
        </is>
      </c>
    </row>
    <row r="11">
      <c r="A11" s="13" t="inlineStr">
        <is>
          <t>Título del CP</t>
        </is>
      </c>
      <c r="B11" s="34" t="inlineStr">
        <is>
          <t>Acelerado: dash de hasta 3 celdas</t>
        </is>
      </c>
      <c r="C11" s="43" t="n"/>
      <c r="D11" s="43" t="n"/>
      <c r="E11" s="44" t="n"/>
    </row>
    <row r="12">
      <c r="A12" s="45" t="n"/>
      <c r="B12" s="46" t="n"/>
      <c r="C12" s="47" t="n"/>
      <c r="D12" s="47" t="n"/>
      <c r="E12" s="48" t="n"/>
    </row>
    <row r="14">
      <c r="A14" s="13" t="inlineStr">
        <is>
          <t>Historias de Usuario</t>
        </is>
      </c>
      <c r="B14" s="7" t="inlineStr">
        <is>
          <t>HU-31</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Usar el poder con 3 o más celdas libres por delante.</t>
        </is>
      </c>
      <c r="C18" s="24" t="n"/>
      <c r="D18" s="7" t="inlineStr">
        <is>
          <t>Avanza exactamente 3 celdas.</t>
        </is>
      </c>
      <c r="E18" s="24" t="n"/>
    </row>
    <row r="19" ht="29.4" customHeight="1">
      <c r="A19" s="8" t="n">
        <v>2</v>
      </c>
      <c r="B19" s="7" t="inlineStr">
        <is>
          <t>Usar el poder con una pared a 2 celdas.</t>
        </is>
      </c>
      <c r="C19" s="24" t="n"/>
      <c r="D19" s="18" t="inlineStr">
        <is>
          <t>Se detiene en la última celda transitable antes de la pared.</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8.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CP-096</t>
        </is>
      </c>
      <c r="C1" s="13" t="inlineStr">
        <is>
          <t>Descripción / Funcionalidad</t>
        </is>
      </c>
      <c r="D1" s="18" t="inlineStr">
        <is>
          <t>HU-31 · Hacer un dash con el Acelerado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Después del dash: 2.46 celdas/s; pasados los 5 s: 5.00 celdas/s.</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v>46323</v>
      </c>
      <c r="I5" s="11" t="inlineStr">
        <is>
          <t>Luzzi</t>
        </is>
      </c>
      <c r="J5" s="11" t="inlineStr">
        <is>
          <t>Aprobado</t>
        </is>
      </c>
      <c r="K5" s="11" t="inlineStr">
        <is>
          <t>Después del dash: 1.84 celdas/s; pasados los 5 s: 3.75 celdas/s (50 % y 100 % de 3,75, decisión 39). Ciclo 3: build con la decisión 39 (velocidad −25 %).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Acelerado.</t>
        </is>
      </c>
      <c r="C9" s="24" t="n"/>
      <c r="D9" s="18" t="inlineStr">
        <is>
          <t>Navegador:</t>
        </is>
      </c>
      <c r="E9" s="7" t="inlineStr">
        <is>
          <t>Chromium 141 de escritorio</t>
        </is>
      </c>
    </row>
    <row r="10" ht="29.4" customHeight="1">
      <c r="A10" s="8" t="n"/>
      <c r="B10" s="7" t="n"/>
      <c r="C10" s="24" t="n"/>
      <c r="D10" s="18" t="inlineStr">
        <is>
          <t>Velocidades:</t>
        </is>
      </c>
      <c r="E10" s="7" t="inlineStr">
        <is>
          <t>3,75 celdas/s; 1,875 durante la penalidad (decisión 39; antes 5 y 2,5)</t>
        </is>
      </c>
    </row>
    <row r="12">
      <c r="A12" s="13" t="inlineStr">
        <is>
          <t>Título del CP</t>
        </is>
      </c>
      <c r="B12" s="34" t="inlineStr">
        <is>
          <t>Acelerado: penalidad de velocidad posterior</t>
        </is>
      </c>
      <c r="C12" s="43" t="n"/>
      <c r="D12" s="43" t="n"/>
      <c r="E12" s="44" t="n"/>
    </row>
    <row r="13">
      <c r="A13" s="45" t="n"/>
      <c r="B13" s="46" t="n"/>
      <c r="C13" s="47" t="n"/>
      <c r="D13" s="47" t="n"/>
      <c r="E13" s="48" t="n"/>
    </row>
    <row r="15">
      <c r="A15" s="13" t="inlineStr">
        <is>
          <t>Historias de Usuario</t>
        </is>
      </c>
      <c r="B15" s="7" t="inlineStr">
        <is>
          <t>HU-31</t>
        </is>
      </c>
      <c r="C15" s="13" t="inlineStr">
        <is>
          <t>Épica</t>
        </is>
      </c>
      <c r="D15" s="7" t="inlineStr">
        <is>
          <t>E7 — Poderes de los fantasmas</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Se mueve a la mitad (1,875 celdas/s).</t>
        </is>
      </c>
      <c r="E18" s="24" t="n"/>
    </row>
    <row r="19" ht="29.4" customHeight="1">
      <c r="A19" s="8" t="n">
        <v>1</v>
      </c>
      <c r="B19" s="7" t="inlineStr">
        <is>
          <t>Hacer un dash y medir la velocidad en los 5 s siguientes.</t>
        </is>
      </c>
      <c r="C19" s="24" t="n"/>
      <c r="D19" s="7" t="inlineStr">
        <is>
          <t>Recupera 3,75 celdas/s.</t>
        </is>
      </c>
      <c r="E19" s="24" t="n"/>
    </row>
    <row r="20" ht="16.2" customHeight="1">
      <c r="A20" s="8" t="n">
        <v>2</v>
      </c>
      <c r="B20" s="7" t="inlineStr">
        <is>
          <t>Medir después de los 5 s.</t>
        </is>
      </c>
      <c r="C20" s="24" t="n"/>
      <c r="D20" s="18" t="inlineStr">
        <is>
          <t>Recupera 5 celdas/s.</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99.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CP-097</t>
        </is>
      </c>
      <c r="C1" s="13" t="inlineStr">
        <is>
          <t>Descripción / Funcionalidad</t>
        </is>
      </c>
      <c r="D1" s="18" t="inlineStr">
        <is>
          <t>HU-31 · Hacer un dash con el Acelerado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Sin moverlo desde la aparición, espacio no lo desplazó y la estrella siguió disponible.</t>
        </is>
      </c>
      <c r="L4" s="11" t="n"/>
    </row>
    <row r="5" ht="30" customHeight="1">
      <c r="A5" s="13" t="inlineStr">
        <is>
          <t>Prioridad (Alta, Media, Baja)</t>
        </is>
      </c>
      <c r="B5" s="18" t="inlineStr">
        <is>
          <t>Baja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recién iniciada con el Acelerado, sin haberlo movido.</t>
        </is>
      </c>
      <c r="C9" s="24" t="n"/>
      <c r="D9" s="18" t="inlineStr">
        <is>
          <t>Navegador:</t>
        </is>
      </c>
      <c r="E9" s="7" t="inlineStr">
        <is>
          <t>Chromium 141 de escritorio</t>
        </is>
      </c>
    </row>
    <row r="11">
      <c r="A11" s="13" t="inlineStr">
        <is>
          <t>Título del CP</t>
        </is>
      </c>
      <c r="B11" s="34" t="inlineStr">
        <is>
          <t>Acelerado: dash sin dirección de avance</t>
        </is>
      </c>
      <c r="C11" s="43" t="n"/>
      <c r="D11" s="43" t="n"/>
      <c r="E11" s="44" t="n"/>
    </row>
    <row r="12">
      <c r="A12" s="45" t="n"/>
      <c r="B12" s="46" t="n"/>
      <c r="C12" s="47" t="n"/>
      <c r="D12" s="47" t="n"/>
      <c r="E12" s="48" t="n"/>
    </row>
    <row r="14">
      <c r="A14" s="13" t="inlineStr">
        <is>
          <t>Historias de Usuario</t>
        </is>
      </c>
      <c r="B14" s="7" t="inlineStr">
        <is>
          <t>HU-31</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Presionar espacio sin mover el fantasma.</t>
        </is>
      </c>
      <c r="C18" s="24" t="n"/>
      <c r="D18" s="7" t="inlineStr">
        <is>
          <t>No hay desplazamiento.</t>
        </is>
      </c>
      <c r="E18" s="24" t="n"/>
    </row>
    <row r="19" ht="16.2" customHeight="1">
      <c r="A19" s="8" t="n">
        <v>2</v>
      </c>
      <c r="B19" s="7" t="inlineStr">
        <is>
          <t>Observar la estrella.</t>
        </is>
      </c>
      <c r="C19" s="24" t="n"/>
      <c r="D19" s="18" t="inlineStr">
        <is>
          <t>Sigue disponible: el poder no se consumió.</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CP-098</t>
        </is>
      </c>
      <c r="C1" s="13" t="inlineStr">
        <is>
          <t>Descripción / Funcionalidad</t>
        </is>
      </c>
      <c r="D1" s="18" t="inlineStr">
        <is>
          <t>HU-32 · Saber cuándo puedo usar mi poder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Estrella encendida abajo a la izquierda junto a las vidas; se apagó al saltar y volvió a encenderse a los 9.93 s.</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Saltarín.</t>
        </is>
      </c>
      <c r="C9" s="24" t="n"/>
      <c r="D9" s="18" t="inlineStr">
        <is>
          <t>Navegador:</t>
        </is>
      </c>
      <c r="E9" s="7" t="inlineStr">
        <is>
          <t>Chromium 141 de escritorio</t>
        </is>
      </c>
    </row>
    <row r="11">
      <c r="A11" s="13" t="inlineStr">
        <is>
          <t>Título del CP</t>
        </is>
      </c>
      <c r="B11" s="34" t="inlineStr">
        <is>
          <t>Indicador de poder disponible</t>
        </is>
      </c>
      <c r="C11" s="43" t="n"/>
      <c r="D11" s="43" t="n"/>
      <c r="E11" s="44" t="n"/>
    </row>
    <row r="12">
      <c r="A12" s="45" t="n"/>
      <c r="B12" s="46" t="n"/>
      <c r="C12" s="47" t="n"/>
      <c r="D12" s="47" t="n"/>
      <c r="E12" s="48" t="n"/>
    </row>
    <row r="14">
      <c r="A14" s="13" t="inlineStr">
        <is>
          <t>Historias de Usuario</t>
        </is>
      </c>
      <c r="B14" s="7" t="inlineStr">
        <is>
          <t>HU-32</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Observar la estrella al empezar.</t>
        </is>
      </c>
      <c r="C18" s="24" t="n"/>
      <c r="D18" s="7" t="inlineStr">
        <is>
          <t>Estrella encendida abajo a la izquierda, junto a las vidas.</t>
        </is>
      </c>
      <c r="E18" s="24" t="n"/>
    </row>
    <row r="19" ht="29.4" customHeight="1">
      <c r="A19" s="8" t="n">
        <v>2</v>
      </c>
      <c r="B19" s="7" t="inlineStr">
        <is>
          <t>Usar el poder y observar.</t>
        </is>
      </c>
      <c r="C19" s="24" t="n"/>
      <c r="D19" s="18" t="inlineStr">
        <is>
          <t>La estrella se apaga durante el cooldown y se enciende a los 10 s exactos.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1.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CP-099</t>
        </is>
      </c>
      <c r="C1" s="13" t="inlineStr">
        <is>
          <t>Descripción / Funcionalidad</t>
        </is>
      </c>
      <c r="D1" s="18" t="inlineStr">
        <is>
          <t>HU-32 · Saber cuándo puedo usar mi poder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el Clásico la barra inferior muestra solo las vidas de Pacman; sin estrella, y espacio no hace nada.</t>
        </is>
      </c>
      <c r="L4" s="11" t="n"/>
    </row>
    <row r="5" ht="30" customHeight="1">
      <c r="A5" s="13" t="inlineStr">
        <is>
          <t>Prioridad (Alta, Media, Baja)</t>
        </is>
      </c>
      <c r="B5" s="18" t="inlineStr">
        <is>
          <t>Baja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Clásico.</t>
        </is>
      </c>
      <c r="C9" s="24" t="n"/>
      <c r="D9" s="18" t="inlineStr">
        <is>
          <t>Navegador:</t>
        </is>
      </c>
      <c r="E9" s="7" t="inlineStr">
        <is>
          <t>Chromium 141 de escritorio</t>
        </is>
      </c>
    </row>
    <row r="11">
      <c r="A11" s="13" t="inlineStr">
        <is>
          <t>Título del CP</t>
        </is>
      </c>
      <c r="B11" s="34" t="inlineStr">
        <is>
          <t>Sin indicador para el fantasma clásico</t>
        </is>
      </c>
      <c r="C11" s="43" t="n"/>
      <c r="D11" s="43" t="n"/>
      <c r="E11" s="44" t="n"/>
    </row>
    <row r="12">
      <c r="A12" s="45" t="n"/>
      <c r="B12" s="46" t="n"/>
      <c r="C12" s="47" t="n"/>
      <c r="D12" s="47" t="n"/>
      <c r="E12" s="48" t="n"/>
    </row>
    <row r="14">
      <c r="A14" s="13" t="inlineStr">
        <is>
          <t>Historias de Usuario</t>
        </is>
      </c>
      <c r="B14" s="7" t="inlineStr">
        <is>
          <t>HU-32</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Observar la barra inferior.</t>
        </is>
      </c>
      <c r="C18" s="24" t="n"/>
      <c r="D18" s="7" t="inlineStr">
        <is>
          <t>Solo se ven las vidas de Pacman.</t>
        </is>
      </c>
      <c r="E18" s="24" t="n"/>
    </row>
    <row r="19" ht="16.2" customHeight="1">
      <c r="A19" s="8" t="n">
        <v>2</v>
      </c>
      <c r="B19" s="7" t="inlineStr">
        <is>
          <t>Presionar espacio.</t>
        </is>
      </c>
      <c r="C19" s="24" t="n"/>
      <c r="D19" s="18" t="inlineStr">
        <is>
          <t>No se muestra estrella y no pasa nada.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CP-100</t>
        </is>
      </c>
      <c r="C1" s="13" t="inlineStr">
        <is>
          <t>Descripción / Funcionalidad</t>
        </is>
      </c>
      <c r="D1" s="18" t="inlineStr">
        <is>
          <t>HU-32 · Saber cuándo puedo usar mi poder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5 pulsaciones de espacio en cooldown: no se colocó otra fruta y el cooldown siguió bajando (4.42 → 3.88 s).</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recién colocada una fruta.</t>
        </is>
      </c>
      <c r="C9" s="24" t="n"/>
      <c r="D9" s="18" t="inlineStr">
        <is>
          <t>Navegador:</t>
        </is>
      </c>
      <c r="E9" s="7" t="inlineStr">
        <is>
          <t>Chromium 141 de escritorio</t>
        </is>
      </c>
    </row>
    <row r="11">
      <c r="A11" s="13" t="inlineStr">
        <is>
          <t>Título del CP</t>
        </is>
      </c>
      <c r="B11" s="34" t="inlineStr">
        <is>
          <t>Espacio durante el cooldown sin efecto</t>
        </is>
      </c>
      <c r="C11" s="43" t="n"/>
      <c r="D11" s="43" t="n"/>
      <c r="E11" s="44" t="n"/>
    </row>
    <row r="12">
      <c r="A12" s="45" t="n"/>
      <c r="B12" s="46" t="n"/>
      <c r="C12" s="47" t="n"/>
      <c r="D12" s="47" t="n"/>
      <c r="E12" s="48" t="n"/>
    </row>
    <row r="14">
      <c r="A14" s="13" t="inlineStr">
        <is>
          <t>Historias de Usuario</t>
        </is>
      </c>
      <c r="B14" s="7" t="inlineStr">
        <is>
          <t>HU-32</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Presionar espacio 5 veces durante el cooldown.</t>
        </is>
      </c>
      <c r="C18" s="24" t="n"/>
      <c r="D18" s="7" t="inlineStr">
        <is>
          <t>No se coloca ninguna fruta.</t>
        </is>
      </c>
      <c r="E18" s="24" t="n"/>
    </row>
    <row r="19" ht="29.4" customHeight="1">
      <c r="A19" s="8" t="n">
        <v>2</v>
      </c>
      <c r="B19" s="7" t="inlineStr">
        <is>
          <t>Observar el estado.</t>
        </is>
      </c>
      <c r="C19" s="24" t="n"/>
      <c r="D19" s="18" t="inlineStr">
        <is>
          <t>El cooldown no se reinicia ni cambia el estado del juego.</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3.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CP-101</t>
        </is>
      </c>
      <c r="C1" s="13" t="inlineStr">
        <is>
          <t>Descripción / Funcionalidad</t>
        </is>
      </c>
      <c r="D1" s="18" t="inlineStr">
        <is>
          <t>HU-33 · Enfrentar a un Pacman que destruye paredes en el nivel 2</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2 sin interferencia: Pacman destruyó 2 paredes, como máximo 2 por esfera grande, ninguna del borde; las celdas rotas quedaron transitables.</t>
        </is>
      </c>
      <c r="L4" s="11" t="n"/>
    </row>
    <row r="5" ht="30" customHeight="1">
      <c r="A5" s="13" t="inlineStr">
        <is>
          <t>Prioridad (Alta, Media, Baja)</t>
        </is>
      </c>
      <c r="B5" s="18" t="inlineStr">
        <is>
          <t>Alta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2.</t>
        </is>
      </c>
      <c r="C9" s="24" t="n"/>
      <c r="D9" s="18" t="inlineStr">
        <is>
          <t>Navegador:</t>
        </is>
      </c>
      <c r="E9" s="7" t="inlineStr">
        <is>
          <t>Chromium 141 de escritorio</t>
        </is>
      </c>
    </row>
    <row r="10" ht="29.4" customHeight="1">
      <c r="A10" s="8" t="n"/>
      <c r="B10" s="7" t="n"/>
      <c r="C10" s="24" t="n"/>
      <c r="D10" s="18" t="inlineStr">
        <is>
          <t>Cargas:</t>
        </is>
      </c>
      <c r="E10" s="7" t="inlineStr">
        <is>
          <t>5 por esfera grande (decisión 22)</t>
        </is>
      </c>
    </row>
    <row r="12">
      <c r="A12" s="13" t="inlineStr">
        <is>
          <t>Título del CP</t>
        </is>
      </c>
      <c r="B12" s="34" t="inlineStr">
        <is>
          <t>Pacman destruye hasta 5 paredes en el nivel 2</t>
        </is>
      </c>
      <c r="C12" s="43" t="n"/>
      <c r="D12" s="43" t="n"/>
      <c r="E12" s="44" t="n"/>
    </row>
    <row r="13">
      <c r="A13" s="45" t="n"/>
      <c r="B13" s="46" t="n"/>
      <c r="C13" s="47" t="n"/>
      <c r="D13" s="47" t="n"/>
      <c r="E13" s="48" t="n"/>
    </row>
    <row r="15">
      <c r="A15" s="13" t="inlineStr">
        <is>
          <t>Historias de Usuario</t>
        </is>
      </c>
      <c r="B15" s="7" t="inlineStr">
        <is>
          <t>HU-33</t>
        </is>
      </c>
      <c r="C15" s="13" t="inlineStr">
        <is>
          <t>Épica</t>
        </is>
      </c>
      <c r="D15" s="7" t="inlineStr">
        <is>
          <t>E8 — Dificultad del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Esperar a que Pacman consuma una esfera grande y observar el mapa durante el PowerUp.</t>
        </is>
      </c>
      <c r="C19" s="24" t="n"/>
      <c r="D19" s="7" t="inlineStr">
        <is>
          <t>Pacman rompe muros interiores al avanzar hacia ellos; cada celda rota queda transitable.</t>
        </is>
      </c>
      <c r="E19" s="24" t="n"/>
    </row>
    <row r="20" ht="16.2" customHeight="1">
      <c r="A20" s="8" t="n">
        <v>2</v>
      </c>
      <c r="B20" s="7" t="inlineStr">
        <is>
          <t>Contar las paredes destruidas en ese PowerUp.</t>
        </is>
      </c>
      <c r="C20" s="24" t="n"/>
      <c r="D20" s="18" t="inlineStr">
        <is>
          <t>Destruye como máximo 5, nunca un borde.</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4.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CP-102</t>
        </is>
      </c>
      <c r="C1" s="13" t="inlineStr">
        <is>
          <t>Descripción / Funcionalidad</t>
        </is>
      </c>
      <c r="D1" s="18" t="inlineStr">
        <is>
          <t>HU-33 · Enfrentar a un Pacman que destruye paredes en el nivel 2</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1 durante 30 s, con Pacman comiendo esferas grandes: no se destruyó ninguna pared.</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1">
      <c r="A11" s="13" t="inlineStr">
        <is>
          <t>Título del CP</t>
        </is>
      </c>
      <c r="B11" s="34" t="inlineStr">
        <is>
          <t>El nivel 1 no habilita la destrucción de paredes</t>
        </is>
      </c>
      <c r="C11" s="43" t="n"/>
      <c r="D11" s="43" t="n"/>
      <c r="E11" s="44" t="n"/>
    </row>
    <row r="12">
      <c r="A12" s="45" t="n"/>
      <c r="B12" s="46" t="n"/>
      <c r="C12" s="47" t="n"/>
      <c r="D12" s="47" t="n"/>
      <c r="E12" s="48" t="n"/>
    </row>
    <row r="14">
      <c r="A14" s="13" t="inlineStr">
        <is>
          <t>Historias de Usuario</t>
        </is>
      </c>
      <c r="B14" s="7" t="inlineStr">
        <is>
          <t>HU-33</t>
        </is>
      </c>
      <c r="C14" s="13" t="inlineStr">
        <is>
          <t>Épica</t>
        </is>
      </c>
      <c r="D14" s="7" t="inlineStr">
        <is>
          <t>E8 — Dificultad del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Esperar a que Pacman consuma una esfera grande.</t>
        </is>
      </c>
      <c r="C18" s="24" t="n"/>
      <c r="D18" s="7" t="inlineStr">
        <is>
          <t>Se activa el PowerUp.</t>
        </is>
      </c>
      <c r="E18" s="24" t="n"/>
    </row>
    <row r="19" ht="16.2" customHeight="1">
      <c r="A19" s="8" t="n">
        <v>2</v>
      </c>
      <c r="B19" s="7" t="inlineStr">
        <is>
          <t>Observar el mapa hasta que termine.</t>
        </is>
      </c>
      <c r="C19" s="24" t="n"/>
      <c r="D19" s="18" t="inlineStr">
        <is>
          <t>Ninguna pared se destruye.</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5.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CP-103</t>
        </is>
      </c>
      <c r="C1" s="13" t="inlineStr">
        <is>
          <t>Descripción / Funcionalidad</t>
        </is>
      </c>
      <c r="D1" s="18" t="inlineStr">
        <is>
          <t>HU-33 · Enfrentar a un Pacman que destruye paredes en el nivel 2</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Paredes rotas [[10, 5]]; tras la derrota de Pacman volvieron a existir.</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2, con al menos una pared destruida.</t>
        </is>
      </c>
      <c r="C9" s="24" t="n"/>
      <c r="D9" s="18" t="inlineStr">
        <is>
          <t>Navegador:</t>
        </is>
      </c>
      <c r="E9" s="7" t="inlineStr">
        <is>
          <t>Chromium 141 de escritorio</t>
        </is>
      </c>
    </row>
    <row r="11">
      <c r="A11" s="13" t="inlineStr">
        <is>
          <t>Título del CP</t>
        </is>
      </c>
      <c r="B11" s="34" t="inlineStr">
        <is>
          <t>Paredes restablecidas al reiniciarse el nivel</t>
        </is>
      </c>
      <c r="C11" s="43" t="n"/>
      <c r="D11" s="43" t="n"/>
      <c r="E11" s="44" t="n"/>
    </row>
    <row r="12">
      <c r="A12" s="45" t="n"/>
      <c r="B12" s="46" t="n"/>
      <c r="C12" s="47" t="n"/>
      <c r="D12" s="47" t="n"/>
      <c r="E12" s="48" t="n"/>
    </row>
    <row r="14">
      <c r="A14" s="13" t="inlineStr">
        <is>
          <t>Historias de Usuario</t>
        </is>
      </c>
      <c r="B14" s="7" t="inlineStr">
        <is>
          <t>HU-33</t>
        </is>
      </c>
      <c r="C14" s="13" t="inlineStr">
        <is>
          <t>Épica</t>
        </is>
      </c>
      <c r="D14" s="7" t="inlineStr">
        <is>
          <t>E8 — Dificultad del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Derrotar a Pacman.</t>
        </is>
      </c>
      <c r="C18" s="24" t="n"/>
      <c r="D18" s="7" t="inlineStr">
        <is>
          <t>El nivel se reinicia.</t>
        </is>
      </c>
      <c r="E18" s="24" t="n"/>
    </row>
    <row r="19" ht="16.2" customHeight="1">
      <c r="A19" s="8" t="n">
        <v>2</v>
      </c>
      <c r="B19" s="7" t="inlineStr">
        <is>
          <t>Observar las paredes destruidas.</t>
        </is>
      </c>
      <c r="C19" s="24" t="n"/>
      <c r="D19" s="18" t="inlineStr">
        <is>
          <t>Vuelven a existir.</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CP-104</t>
        </is>
      </c>
      <c r="C1" s="13" t="inlineStr">
        <is>
          <t>Descripción / Funcionalidad</t>
        </is>
      </c>
      <c r="D1" s="18" t="inlineStr">
        <is>
          <t>HU-34 · Enfrentar más PowerUps en el nivel 3</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Esferas grandes al iniciar: nivel 1 = 4, nivel 2 = 4, nivel 3 = 6 (esquinas, (7,1) y (7,15)).</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3.</t>
        </is>
      </c>
      <c r="C9" s="24" t="n"/>
      <c r="D9" s="18" t="inlineStr">
        <is>
          <t>Navegador:</t>
        </is>
      </c>
      <c r="E9" s="7" t="inlineStr">
        <is>
          <t>Chromium 141 de escritorio</t>
        </is>
      </c>
    </row>
    <row r="11">
      <c r="A11" s="13" t="inlineStr">
        <is>
          <t>Título del CP</t>
        </is>
      </c>
      <c r="B11" s="34" t="inlineStr">
        <is>
          <t>Más esferas grandes en el nivel 3</t>
        </is>
      </c>
      <c r="C11" s="43" t="n"/>
      <c r="D11" s="43" t="n"/>
      <c r="E11" s="44" t="n"/>
    </row>
    <row r="12">
      <c r="A12" s="45" t="n"/>
      <c r="B12" s="46" t="n"/>
      <c r="C12" s="47" t="n"/>
      <c r="D12" s="47" t="n"/>
      <c r="E12" s="48" t="n"/>
    </row>
    <row r="14">
      <c r="A14" s="13" t="inlineStr">
        <is>
          <t>Historias de Usuario</t>
        </is>
      </c>
      <c r="B14" s="7" t="inlineStr">
        <is>
          <t>HU-34</t>
        </is>
      </c>
      <c r="C14" s="13" t="inlineStr">
        <is>
          <t>Épica</t>
        </is>
      </c>
      <c r="D14" s="7" t="inlineStr">
        <is>
          <t>E8 — Dificultad del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16.2" customHeight="1">
      <c r="A18" s="8" t="n">
        <v>1</v>
      </c>
      <c r="B18" s="7" t="inlineStr">
        <is>
          <t>Contar las esferas grandes al empezar el nivel 3.</t>
        </is>
      </c>
      <c r="C18" s="24" t="n"/>
      <c r="D18" s="7" t="inlineStr">
        <is>
          <t>Hay 6: las 4 esquinas, (7,1) y (7,15).</t>
        </is>
      </c>
      <c r="E18" s="24" t="n"/>
    </row>
    <row r="19" ht="16.2" customHeight="1">
      <c r="A19" s="8" t="n">
        <v>2</v>
      </c>
      <c r="B19" s="7" t="inlineStr">
        <is>
          <t>Compararlas con los niveles 1 y 2.</t>
        </is>
      </c>
      <c r="C19" s="24" t="n"/>
      <c r="D19" s="18" t="inlineStr">
        <is>
          <t>El nivel 3 tiene más esferas grandes (6 contra 4).</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7.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CP-105</t>
        </is>
      </c>
      <c r="C1" s="13" t="inlineStr">
        <is>
          <t>Descripción / Funcionalidad</t>
        </is>
      </c>
      <c r="D1" s="18" t="inlineStr">
        <is>
          <t>HU-34 · Enfrentar más PowerUps en el nivel 3</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A los 15 s apareció una esfera grande dinámica en [[3, 1]] (celda transitable). Con solo esa esfera pendiente el nivel no terminó: cuenta para completarlo. (Resto del mapa vaciado por script.)</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3.</t>
        </is>
      </c>
      <c r="C9" s="24" t="n"/>
      <c r="D9" s="18" t="inlineStr">
        <is>
          <t>Navegador:</t>
        </is>
      </c>
      <c r="E9" s="7" t="inlineStr">
        <is>
          <t>Chromium 141 de escritorio</t>
        </is>
      </c>
    </row>
    <row r="10" ht="16.2" customHeight="1">
      <c r="A10" s="8" t="n"/>
      <c r="B10" s="7" t="n"/>
      <c r="C10" s="24" t="n"/>
      <c r="D10" s="18" t="inlineStr">
        <is>
          <t>Intervalo:</t>
        </is>
      </c>
      <c r="E10" s="7" t="inlineStr">
        <is>
          <t>15 s, máximo 2 dinámicas</t>
        </is>
      </c>
    </row>
    <row r="12">
      <c r="A12" s="13" t="inlineStr">
        <is>
          <t>Título del CP</t>
        </is>
      </c>
      <c r="B12" s="34" t="inlineStr">
        <is>
          <t>Aparición dinámica de esferas grandes</t>
        </is>
      </c>
      <c r="C12" s="43" t="n"/>
      <c r="D12" s="43" t="n"/>
      <c r="E12" s="44" t="n"/>
    </row>
    <row r="13">
      <c r="A13" s="45" t="n"/>
      <c r="B13" s="46" t="n"/>
      <c r="C13" s="47" t="n"/>
      <c r="D13" s="47" t="n"/>
      <c r="E13" s="48" t="n"/>
    </row>
    <row r="15">
      <c r="A15" s="13" t="inlineStr">
        <is>
          <t>Historias de Usuario</t>
        </is>
      </c>
      <c r="B15" s="7" t="inlineStr">
        <is>
          <t>HU-34</t>
        </is>
      </c>
      <c r="C15" s="13" t="inlineStr">
        <is>
          <t>Épica</t>
        </is>
      </c>
      <c r="D15" s="7" t="inlineStr">
        <is>
          <t>E8 — Dificultad del modo GhostMan</t>
        </is>
      </c>
      <c r="E15" s="24" t="n"/>
    </row>
    <row r="16" ht="28" customHeight="1">
      <c r="A16" s="13" t="inlineStr">
        <is>
          <t>Estado Automatización</t>
        </is>
      </c>
      <c r="B16" s="7" t="inlineStr">
        <is>
          <t>Automatizado (script de navegador, Entrega 2)</t>
        </is>
      </c>
      <c r="C16" s="13" t="inlineStr">
        <is>
          <t>Camino feliz</t>
        </is>
      </c>
      <c r="D16" s="7" t="inlineStr">
        <is>
          <t>Sí</t>
        </is>
      </c>
      <c r="E16" s="24" t="n"/>
    </row>
    <row r="18">
      <c r="A18" s="13" t="inlineStr">
        <is>
          <t>Pasos #</t>
        </is>
      </c>
      <c r="B18" s="13" t="inlineStr">
        <is>
          <t>Detalle de pasos</t>
        </is>
      </c>
      <c r="C18" s="24" t="n"/>
      <c r="D18" s="13" t="inlineStr">
        <is>
          <t>Resultado esperado</t>
        </is>
      </c>
      <c r="E18" s="24" t="n"/>
    </row>
    <row r="19" ht="29.4" customHeight="1">
      <c r="A19" s="8" t="n">
        <v>1</v>
      </c>
      <c r="B19" s="7" t="inlineStr">
        <is>
          <t>Observar el mapa a los 15 s y a los 30 s.</t>
        </is>
      </c>
      <c r="C19" s="24" t="n"/>
      <c r="D19" s="7" t="inlineStr">
        <is>
          <t>Aparece una esfera grande nueva en cada momento, en celdas transitables, y el contador de esferas sube.</t>
        </is>
      </c>
      <c r="E19" s="24" t="n"/>
    </row>
    <row r="20" ht="29.4" customHeight="1">
      <c r="A20" s="8" t="n">
        <v>2</v>
      </c>
      <c r="B20" s="7" t="inlineStr">
        <is>
          <t>Dejar que Pacman consuma todas salvo una dinámica.</t>
        </is>
      </c>
      <c r="C20" s="24" t="n"/>
      <c r="D20" s="18" t="inlineStr">
        <is>
          <t>El nivel no termina: las dinámicas cuentan para completarlo.</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8.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CP-141</t>
        </is>
      </c>
      <c r="C1" s="13" t="inlineStr">
        <is>
          <t>Descripción / Funcionalidad</t>
        </is>
      </c>
      <c r="D1" s="18" t="inlineStr">
        <is>
          <t>HU-22 · Elegir el modo de juego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Durante 5 s con ↑ ↓ W S Enter no aparece el menú ni el carrusel; tras pausar y reanudar la partida sigue en modo GhostMan con el Clásico.</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 nivel 1.</t>
        </is>
      </c>
      <c r="C9" s="24" t="n"/>
      <c r="D9" s="18" t="inlineStr">
        <is>
          <t>Navegador:</t>
        </is>
      </c>
      <c r="E9" s="7" t="inlineStr">
        <is>
          <t>Chromium 141 de escritorio</t>
        </is>
      </c>
    </row>
    <row r="10" ht="16.2" customHeight="1">
      <c r="A10" s="8" t="n"/>
      <c r="B10" s="7" t="n"/>
      <c r="C10" s="24" t="n"/>
      <c r="D10" s="18" t="inlineStr">
        <is>
          <t>Fantasma:</t>
        </is>
      </c>
      <c r="E10" s="7" t="inlineStr">
        <is>
          <t>Clásico</t>
        </is>
      </c>
    </row>
    <row r="12">
      <c r="A12" s="13" t="inlineStr">
        <is>
          <t>Título del CP</t>
        </is>
      </c>
      <c r="B12" s="34" t="inlineStr">
        <is>
          <t>El modo no cambia durante la partida</t>
        </is>
      </c>
      <c r="C12" s="43" t="n"/>
      <c r="D12" s="43" t="n"/>
      <c r="E12" s="44" t="n"/>
    </row>
    <row r="13">
      <c r="A13" s="45" t="n"/>
      <c r="B13" s="46" t="n"/>
      <c r="C13" s="47" t="n"/>
      <c r="D13" s="47" t="n"/>
      <c r="E13" s="48" t="n"/>
    </row>
    <row r="15">
      <c r="A15" s="13" t="inlineStr">
        <is>
          <t>Historias de Usuario</t>
        </is>
      </c>
      <c r="B15" s="7" t="inlineStr">
        <is>
          <t>HU-22</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Presionar ↑, ↓, W, S y Enter varias veces durante 5 s.</t>
        </is>
      </c>
      <c r="C19" s="24" t="n"/>
      <c r="D19" s="7" t="inlineStr">
        <is>
          <t>El fantasma del jugador se mueve; no aparece el menú ni el carrusel.</t>
        </is>
      </c>
      <c r="E19" s="24" t="n"/>
    </row>
    <row r="20" ht="29.4" customHeight="1">
      <c r="A20" s="8" t="n">
        <v>2</v>
      </c>
      <c r="B20" s="7" t="inlineStr">
        <is>
          <t>Presionar ESC dos veces (pausa y reanuda).</t>
        </is>
      </c>
      <c r="C20" s="24" t="n"/>
      <c r="D20" s="18" t="inlineStr">
        <is>
          <t>La partida sigue en modo GhostMan, con la barra «Vidas de Pacman» y el mismo fantasma.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09.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CP-142</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2</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Velocidad medida: Clásico 5.00 celdas/s, Naval 4.00 celdas/s (−20 %). Precondición preparada por script (posiciones y fantasmas de la IA retirados) para aislar la condición.</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v>46323</v>
      </c>
      <c r="I5" s="11" t="inlineStr">
        <is>
          <t>Luzzi</t>
        </is>
      </c>
      <c r="J5" s="11" t="inlineStr">
        <is>
          <t>Aprobado</t>
        </is>
      </c>
      <c r="K5" s="11" t="inlineStr">
        <is>
          <t>Velocidad medida: Clásico 3.75 celdas/s, Naval 3.00 celdas/s (−20 %). Valores de la decisión 39 (3,75 y 3 celdas/s). Precondición preparada por script. Ciclo 3: build con la decisión 39 (velocidad −25 %).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Dos partidas en modo GhostMan: una con el Clásico y otra con el Naval.</t>
        </is>
      </c>
      <c r="C9" s="24" t="n"/>
      <c r="D9" s="18" t="inlineStr">
        <is>
          <t>Navegador:</t>
        </is>
      </c>
      <c r="E9" s="7" t="inlineStr">
        <is>
          <t>Chromium 141 de escritorio</t>
        </is>
      </c>
    </row>
    <row r="10" ht="29.4" customHeight="1">
      <c r="A10" s="8" t="n"/>
      <c r="B10" s="7" t="n"/>
      <c r="C10" s="24" t="n"/>
      <c r="D10" s="18" t="inlineStr">
        <is>
          <t>Velocidades:</t>
        </is>
      </c>
      <c r="E10" s="7" t="inlineStr">
        <is>
          <t>Clásico 3,75 celdas/s; Naval 3 celdas/s (decisión 39; antes 5 y 4)</t>
        </is>
      </c>
    </row>
    <row r="12">
      <c r="A12" s="13" t="inlineStr">
        <is>
          <t>Título del CP</t>
        </is>
      </c>
      <c r="B12" s="34" t="inlineStr">
        <is>
          <t>Velocidad base del fantasma según su tipo</t>
        </is>
      </c>
      <c r="C12" s="43" t="n"/>
      <c r="D12" s="43" t="n"/>
      <c r="E12" s="44" t="n"/>
    </row>
    <row r="13">
      <c r="A13" s="45" t="n"/>
      <c r="B13" s="46" t="n"/>
      <c r="C13" s="47" t="n"/>
      <c r="D13" s="47" t="n"/>
      <c r="E13" s="48" t="n"/>
    </row>
    <row r="15">
      <c r="A15" s="13" t="inlineStr">
        <is>
          <t>Historias de Usuario</t>
        </is>
      </c>
      <c r="B15" s="7" t="inlineStr">
        <is>
          <t>HU-24</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Tarda unos 2,7 s (3,75 celdas/s).</t>
        </is>
      </c>
      <c r="E18" s="24" t="n"/>
    </row>
    <row r="19" ht="29.4" customHeight="1">
      <c r="A19" s="8" t="n">
        <v>1</v>
      </c>
      <c r="B19" s="7" t="inlineStr">
        <is>
          <t>Con el Clásico, recorrer la fila 1 cronometrando 10 celdas.</t>
        </is>
      </c>
      <c r="C19" s="24" t="n"/>
      <c r="D19" s="7" t="inlineStr">
        <is>
          <t>Tarda unos 3,3 s: el Naval es un 20 % más lento, según la sección 4.5.</t>
        </is>
      </c>
      <c r="E19" s="24" t="n"/>
    </row>
    <row r="20" ht="29.4" customHeight="1">
      <c r="A20" s="8" t="n">
        <v>2</v>
      </c>
      <c r="B20" s="7" t="inlineStr">
        <is>
          <t>Con el Naval, recorrer el mismo tramo.</t>
        </is>
      </c>
      <c r="C20" s="24" t="n"/>
      <c r="D20" s="18" t="inlineStr">
        <is>
          <t>Tarda unos 2,5 s: el Naval es un 20 % más lento, según la sección 4.5.</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CP-143</t>
        </is>
      </c>
      <c r="C1" s="13" t="inlineStr">
        <is>
          <t>Descripción / Funcionalidad</t>
        </is>
      </c>
      <c r="D1" s="18" t="inlineStr">
        <is>
          <t>HU-25 · Derrotar a Pacman para completar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Tercera derrota en el nivel 3: pantalla de Victoria con el desglose (Derrotas de Pacman, Esferas sin consumir, Total).</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3, Pacman con 1 vida.</t>
        </is>
      </c>
      <c r="C9" s="24" t="n"/>
      <c r="D9" s="18" t="inlineStr">
        <is>
          <t>Navegador:</t>
        </is>
      </c>
      <c r="E9" s="7" t="inlineStr">
        <is>
          <t>Chromium 141 de escritorio</t>
        </is>
      </c>
    </row>
    <row r="11">
      <c r="A11" s="13" t="inlineStr">
        <is>
          <t>Título del CP</t>
        </is>
      </c>
      <c r="B11" s="34" t="inlineStr">
        <is>
          <t>Victoria al completar el nivel 3</t>
        </is>
      </c>
      <c r="C11" s="43" t="n"/>
      <c r="D11" s="43" t="n"/>
      <c r="E11" s="44" t="n"/>
    </row>
    <row r="12">
      <c r="A12" s="45" t="n"/>
      <c r="B12" s="46" t="n"/>
      <c r="C12" s="47" t="n"/>
      <c r="D12" s="47" t="n"/>
      <c r="E12" s="48" t="n"/>
    </row>
    <row r="14">
      <c r="A14" s="13" t="inlineStr">
        <is>
          <t>Historias de Usuario</t>
        </is>
      </c>
      <c r="B14" s="7" t="inlineStr">
        <is>
          <t>HU-25</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Derrotar a Pacman por tercera vez en el nivel 3.</t>
        </is>
      </c>
      <c r="C18" s="24" t="n"/>
      <c r="D18" s="7" t="inlineStr">
        <is>
          <t>El nivel 3 se completa.</t>
        </is>
      </c>
      <c r="E18" s="24" t="n"/>
    </row>
    <row r="19" ht="29.4" customHeight="1">
      <c r="A19" s="8" t="n">
        <v>2</v>
      </c>
      <c r="B19" s="7" t="inlineStr">
        <is>
          <t>Esperar 3 s.</t>
        </is>
      </c>
      <c r="C19" s="24" t="n"/>
      <c r="D19" s="18" t="inlineStr">
        <is>
          <t>Se muestra la pantalla de Victoria con el desglose del modo GhostMan.</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1.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CP-144</t>
        </is>
      </c>
      <c r="C1" s="13" t="inlineStr">
        <is>
          <t>Descripción / Funcionalidad</t>
        </is>
      </c>
      <c r="D1" s="18" t="inlineStr">
        <is>
          <t>HU-25 · Derrotar a Pacman para completar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Pacman estaba en (7, 1); tras el toque del fantasma de la IA volvió a su posición inicial (7,8) sin perder vidas (3 → 3); puntaje y fantasma del jugador sin cambios.</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1, Pacman sin PowerUp y lejos de su posición inicial.</t>
        </is>
      </c>
      <c r="C9" s="24" t="n"/>
      <c r="D9" s="18" t="inlineStr">
        <is>
          <t>Navegador:</t>
        </is>
      </c>
      <c r="E9" s="7" t="inlineStr">
        <is>
          <t>Chromium 141 de escritorio</t>
        </is>
      </c>
    </row>
    <row r="11">
      <c r="A11" s="13" t="inlineStr">
        <is>
          <t>Título del CP</t>
        </is>
      </c>
      <c r="B11" s="34" t="inlineStr">
        <is>
          <t>Toque de un fantasma de la IA (decisión 19)</t>
        </is>
      </c>
      <c r="C11" s="43" t="n"/>
      <c r="D11" s="43" t="n"/>
      <c r="E11" s="44" t="n"/>
    </row>
    <row r="12">
      <c r="A12" s="45" t="n"/>
      <c r="B12" s="46" t="n"/>
      <c r="C12" s="47" t="n"/>
      <c r="D12" s="47" t="n"/>
      <c r="E12" s="48" t="n"/>
    </row>
    <row r="14">
      <c r="A14" s="13" t="inlineStr">
        <is>
          <t>Historias de Usuario</t>
        </is>
      </c>
      <c r="B14" s="7" t="inlineStr">
        <is>
          <t>HU-25</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Anotar vidas de Pacman, puntaje y posición del fantasma del jugador.</t>
        </is>
      </c>
      <c r="C18" s="24" t="n"/>
      <c r="D18" s="7" t="inlineStr">
        <is>
          <t>Valores anotados.</t>
        </is>
      </c>
      <c r="E18" s="24" t="n"/>
    </row>
    <row r="19" ht="42.59999999999999" customHeight="1">
      <c r="A19" s="8" t="n">
        <v>2</v>
      </c>
      <c r="B19" s="7" t="inlineStr">
        <is>
          <t>Esperar a que un fantasma de la IA toque a Pacman.</t>
        </is>
      </c>
      <c r="C19" s="24" t="n"/>
      <c r="D19" s="18" t="inlineStr">
        <is>
          <t>Pacman vuelve a su posición inicial sin perder una vida; el puntaje, las esferas y la posición del fantasma del jugador no cambian.</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2.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CP-145</t>
        </is>
      </c>
      <c r="C1" s="13" t="inlineStr">
        <is>
          <t>Descripción / Funcionalidad</t>
        </is>
      </c>
      <c r="D1" s="18" t="inlineStr">
        <is>
          <t>HU-26 · Perder si Pacman completa el nivel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1 con 3 derrotas: puntaje 2530 al completar (1500 por derrotas + esferas sin consumir). Desglose final: {'Derrotas de Pacman': '1500', 'Esferas sin consumir': '1030', 'Total': '2530'}; la suma coincide con el total.</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Partida en curso en modo GhostMan (GM).</t>
        </is>
      </c>
      <c r="C9" s="24" t="n"/>
      <c r="D9" s="18" t="inlineStr">
        <is>
          <t>Navegador:</t>
        </is>
      </c>
      <c r="E9" s="7" t="inlineStr">
        <is>
          <t>Chromium 141 de escritorio</t>
        </is>
      </c>
    </row>
    <row r="10" ht="42.59999999999999" customHeight="1">
      <c r="A10" s="8" t="n"/>
      <c r="B10" s="7" t="n"/>
      <c r="C10" s="24" t="n"/>
      <c r="D10" s="18" t="inlineStr">
        <is>
          <t>Puntos:</t>
        </is>
      </c>
      <c r="E10" s="7" t="inlineStr">
        <is>
          <t>500 por derrota de Pacman; 10 por esfera sin consumir al completar el nivel</t>
        </is>
      </c>
    </row>
    <row r="12">
      <c r="A12" s="13" t="inlineStr">
        <is>
          <t>Título del CP</t>
        </is>
      </c>
      <c r="B12" s="34" t="inlineStr">
        <is>
          <t>Desglose del puntaje del modo GhostMan (decisión 20)</t>
        </is>
      </c>
      <c r="C12" s="43" t="n"/>
      <c r="D12" s="43" t="n"/>
      <c r="E12" s="44" t="n"/>
    </row>
    <row r="13">
      <c r="A13" s="45" t="n"/>
      <c r="B13" s="46" t="n"/>
      <c r="C13" s="47" t="n"/>
      <c r="D13" s="47" t="n"/>
      <c r="E13" s="48" t="n"/>
    </row>
    <row r="15">
      <c r="A15" s="13" t="inlineStr">
        <is>
          <t>Historias de Usuario</t>
        </is>
      </c>
      <c r="B15" s="7" t="inlineStr">
        <is>
          <t>HU-26</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Completar el nivel 1 con 3 derrotas, anotando las esferas restantes.</t>
        </is>
      </c>
      <c r="C19" s="24" t="n"/>
      <c r="D19" s="7" t="inlineStr">
        <is>
          <t>El puntaje es 1500 + 10 × esferas restantes.</t>
        </is>
      </c>
      <c r="E19" s="24" t="n"/>
    </row>
    <row r="20" ht="42.59999999999999" customHeight="1">
      <c r="A20" s="8" t="n">
        <v>2</v>
      </c>
      <c r="B20" s="7" t="inlineStr">
        <is>
          <t>Terminar la partida y observar el desglose.</t>
        </is>
      </c>
      <c r="C20" s="24" t="n"/>
      <c r="D20" s="18" t="inlineStr">
        <is>
          <t>El desglose tiene dos categorías, «Derrotas de Pacman» y «Esferas sin consumir», y su suma coincide con el total.</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3.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CP-146</t>
        </is>
      </c>
      <c r="C1" s="13" t="inlineStr">
        <is>
          <t>Descripción / Funcionalidad</t>
        </is>
      </c>
      <c r="D1" s="18" t="inlineStr">
        <is>
          <t>HU-27 · Ser comido por Pacman con el PowerUp activo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55.8"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Comido el Acelerado, la barra espaciadora durante la espera no hizo nada (cooldown 0, sigue en (1,1)); al reaparecer la estrella sigue disponible.</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con el Acelerado, comido por Pacman (esperando reaparecer), poder disponible.</t>
        </is>
      </c>
      <c r="C9" s="24" t="n"/>
      <c r="D9" s="18" t="inlineStr">
        <is>
          <t>Navegador:</t>
        </is>
      </c>
      <c r="E9" s="7" t="inlineStr">
        <is>
          <t>Chromium 141 de escritorio</t>
        </is>
      </c>
    </row>
    <row r="10" ht="16.2" customHeight="1">
      <c r="A10" s="8" t="n"/>
      <c r="B10" s="7" t="n"/>
      <c r="C10" s="24" t="n"/>
      <c r="D10" s="18" t="inlineStr">
        <is>
          <t>Fantasma:</t>
        </is>
      </c>
      <c r="E10" s="7" t="inlineStr">
        <is>
          <t>Acelerado</t>
        </is>
      </c>
    </row>
    <row r="12">
      <c r="A12" s="13" t="inlineStr">
        <is>
          <t>Título del CP</t>
        </is>
      </c>
      <c r="B12" s="34" t="inlineStr">
        <is>
          <t>El poder no se activa mientras se espera reaparecer</t>
        </is>
      </c>
      <c r="C12" s="43" t="n"/>
      <c r="D12" s="43" t="n"/>
      <c r="E12" s="44" t="n"/>
    </row>
    <row r="13">
      <c r="A13" s="45" t="n"/>
      <c r="B13" s="46" t="n"/>
      <c r="C13" s="47" t="n"/>
      <c r="D13" s="47" t="n"/>
      <c r="E13" s="48" t="n"/>
    </row>
    <row r="15">
      <c r="A15" s="13" t="inlineStr">
        <is>
          <t>Historias de Usuario</t>
        </is>
      </c>
      <c r="B15" s="7" t="inlineStr">
        <is>
          <t>HU-27</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16.2" customHeight="1">
      <c r="A19" s="8" t="n">
        <v>1</v>
      </c>
      <c r="B19" s="7" t="inlineStr">
        <is>
          <t>Presionar la barra espaciadora durante la espera.</t>
        </is>
      </c>
      <c r="C19" s="24" t="n"/>
      <c r="D19" s="7" t="inlineStr">
        <is>
          <t>No hay desplazamiento ni cambio de estado.</t>
        </is>
      </c>
      <c r="E19" s="24" t="n"/>
    </row>
    <row r="20" ht="29.4" customHeight="1">
      <c r="A20" s="8" t="n">
        <v>2</v>
      </c>
      <c r="B20" s="7" t="inlineStr">
        <is>
          <t>Observar la estrella al reaparecer.</t>
        </is>
      </c>
      <c r="C20" s="24" t="n"/>
      <c r="D20" s="18" t="inlineStr">
        <is>
          <t>La estrella sigue disponible: el poder no se activó ni se consumió.</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4.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CP-147</t>
        </is>
      </c>
      <c r="C1" s="13" t="inlineStr">
        <is>
          <t>Descripción / Funcionalidad</t>
        </is>
      </c>
      <c r="D1" s="18" t="inlineStr">
        <is>
          <t>HU-28 · Atravesar una pared con el Espectro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Derrota de Pacman con el cooldown en 8.4 s: el nivel se reinició y el cooldown siguió en 8.1 s (estrella apagada). Precondición preparada por script (posiciones y fantasmas de la IA retirados) para aislar la condición.</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Espectro, recién usado el poder (cooldown corriendo).</t>
        </is>
      </c>
      <c r="C9" s="24" t="n"/>
      <c r="D9" s="18" t="inlineStr">
        <is>
          <t>Navegador:</t>
        </is>
      </c>
      <c r="E9" s="7" t="inlineStr">
        <is>
          <t>Chromium 141 de escritorio</t>
        </is>
      </c>
    </row>
    <row r="11">
      <c r="A11" s="13" t="inlineStr">
        <is>
          <t>Título del CP</t>
        </is>
      </c>
      <c r="B11" s="34" t="inlineStr">
        <is>
          <t>El cooldown sobrevive al reinicio del nivel (decisión 28)</t>
        </is>
      </c>
      <c r="C11" s="43" t="n"/>
      <c r="D11" s="43" t="n"/>
      <c r="E11" s="44" t="n"/>
    </row>
    <row r="12">
      <c r="A12" s="45" t="n"/>
      <c r="B12" s="46" t="n"/>
      <c r="C12" s="47" t="n"/>
      <c r="D12" s="47" t="n"/>
      <c r="E12" s="48" t="n"/>
    </row>
    <row r="14">
      <c r="A14" s="13" t="inlineStr">
        <is>
          <t>Historias de Usuario</t>
        </is>
      </c>
      <c r="B14" s="7" t="inlineStr">
        <is>
          <t>HU-28</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Derrotar a Pacman antes de que termine el cooldown.</t>
        </is>
      </c>
      <c r="C18" s="24" t="n"/>
      <c r="D18" s="7" t="inlineStr">
        <is>
          <t>El nivel se reinicia.</t>
        </is>
      </c>
      <c r="E18" s="24" t="n"/>
    </row>
    <row r="19" ht="29.4" customHeight="1">
      <c r="A19" s="8" t="n">
        <v>2</v>
      </c>
      <c r="B19" s="7" t="inlineStr">
        <is>
          <t>Observar la estrella.</t>
        </is>
      </c>
      <c r="C19" s="24" t="n"/>
      <c r="D19" s="18" t="inlineStr">
        <is>
          <t>Sigue en cooldown: la derrota no recargó el poder; vuelve a estar disponible a los 10 s del uso.</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5.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CP-148</t>
        </is>
      </c>
      <c r="C1" s="13" t="inlineStr">
        <is>
          <t>Descripción / Funcionalidad</t>
        </is>
      </c>
      <c r="D1" s="18" t="inlineStr">
        <is>
          <t>HU-30 · Colocar frutas falsas con el Naval</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2 frutas falsas en el mapa, el jugador derrotó a Pacman: al reiniciarse el nivel desaparecieron sin explotar.</t>
        </is>
      </c>
      <c r="L4" s="11" t="n"/>
    </row>
    <row r="5" ht="30" customHeight="1">
      <c r="A5" s="13" t="inlineStr">
        <is>
          <t>Prioridad (Alta, Media, Baja)</t>
        </is>
      </c>
      <c r="B5" s="18" t="inlineStr">
        <is>
          <t>Media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dos frutas falsas en el mapa.</t>
        </is>
      </c>
      <c r="C9" s="24" t="n"/>
      <c r="D9" s="18" t="inlineStr">
        <is>
          <t>Navegador:</t>
        </is>
      </c>
      <c r="E9" s="7" t="inlineStr">
        <is>
          <t>Chromium 141 de escritorio</t>
        </is>
      </c>
    </row>
    <row r="11">
      <c r="A11" s="13" t="inlineStr">
        <is>
          <t>Título del CP</t>
        </is>
      </c>
      <c r="B11" s="34" t="inlineStr">
        <is>
          <t>Frutas falsas al reiniciarse el nivel (decisión 27)</t>
        </is>
      </c>
      <c r="C11" s="43" t="n"/>
      <c r="D11" s="43" t="n"/>
      <c r="E11" s="44" t="n"/>
    </row>
    <row r="12">
      <c r="A12" s="45" t="n"/>
      <c r="B12" s="46" t="n"/>
      <c r="C12" s="47" t="n"/>
      <c r="D12" s="47" t="n"/>
      <c r="E12" s="48" t="n"/>
    </row>
    <row r="14">
      <c r="A14" s="13" t="inlineStr">
        <is>
          <t>Historias de Usuario</t>
        </is>
      </c>
      <c r="B14" s="7" t="inlineStr">
        <is>
          <t>HU-30</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Derrotar a Pacman tocándolo con el fantasma.</t>
        </is>
      </c>
      <c r="C18" s="24" t="n"/>
      <c r="D18" s="7" t="inlineStr">
        <is>
          <t>El nivel se reinicia.</t>
        </is>
      </c>
      <c r="E18" s="24" t="n"/>
    </row>
    <row r="19" ht="16.2" customHeight="1">
      <c r="A19" s="8" t="n">
        <v>2</v>
      </c>
      <c r="B19" s="7" t="inlineStr">
        <is>
          <t>Observar el mapa.</t>
        </is>
      </c>
      <c r="C19" s="24" t="n"/>
      <c r="D19" s="18" t="inlineStr">
        <is>
          <t>Las frutas falsas desaparecieron sin explotar.</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CP-149</t>
        </is>
      </c>
      <c r="C1" s="13" t="inlineStr">
        <is>
          <t>Descripción / Funcionalidad</t>
        </is>
      </c>
      <c r="D1" s="18" t="inlineStr">
        <is>
          <t>HU-31 · Hacer un dash con el Acelerado</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Pacman en (1,6), dash desde (1,4) hasta (1,7): Pacman perdió una vida (3 → 2).</t>
        </is>
      </c>
      <c r="L4" s="11" t="n"/>
    </row>
    <row r="5" ht="30" customHeight="1">
      <c r="A5" s="13" t="inlineStr">
        <is>
          <t>Prioridad (Alta, Media, Baja)</t>
        </is>
      </c>
      <c r="B5" s="18" t="inlineStr">
        <is>
          <t>Alta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con el Acelerado, Pacman sin PowerUp a 2 celdas por delante en el mismo pasillo.</t>
        </is>
      </c>
      <c r="C9" s="24" t="n"/>
      <c r="D9" s="18" t="inlineStr">
        <is>
          <t>Navegador:</t>
        </is>
      </c>
      <c r="E9" s="7" t="inlineStr">
        <is>
          <t>Chromium 141 de escritorio</t>
        </is>
      </c>
    </row>
    <row r="11">
      <c r="A11" s="13" t="inlineStr">
        <is>
          <t>Título del CP</t>
        </is>
      </c>
      <c r="B11" s="34" t="inlineStr">
        <is>
          <t>Dash que pasa por encima de Pacman (decisión 32)</t>
        </is>
      </c>
      <c r="C11" s="43" t="n"/>
      <c r="D11" s="43" t="n"/>
      <c r="E11" s="44" t="n"/>
    </row>
    <row r="12">
      <c r="A12" s="45" t="n"/>
      <c r="B12" s="46" t="n"/>
      <c r="C12" s="47" t="n"/>
      <c r="D12" s="47" t="n"/>
      <c r="E12" s="48" t="n"/>
    </row>
    <row r="14">
      <c r="A14" s="13" t="inlineStr">
        <is>
          <t>Historias de Usuario</t>
        </is>
      </c>
      <c r="B14" s="7" t="inlineStr">
        <is>
          <t>HU-31</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Hacer el dash de 3 celdas.</t>
        </is>
      </c>
      <c r="C18" s="24" t="n"/>
      <c r="D18" s="7" t="inlineStr">
        <is>
          <t>El fantasma termina más allá de Pacman.</t>
        </is>
      </c>
      <c r="E18" s="24" t="n"/>
    </row>
    <row r="19" ht="29.4" customHeight="1">
      <c r="A19" s="8" t="n">
        <v>2</v>
      </c>
      <c r="B19" s="7" t="inlineStr">
        <is>
          <t>Observar el contador.</t>
        </is>
      </c>
      <c r="C19" s="24" t="n"/>
      <c r="D19" s="18" t="inlineStr">
        <is>
          <t>Pacman pierde una vida: el contacto se evalúa en todo el trayecto.</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7.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CP-150</t>
        </is>
      </c>
      <c r="C1" s="13" t="inlineStr">
        <is>
          <t>Descripción / Funcionalidad</t>
        </is>
      </c>
      <c r="D1" s="18" t="inlineStr">
        <is>
          <t>HU-32 · Saber cuándo puedo usar mi poder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Contra el borde no hubo dash y el cooldown quedó en 0; en el pasillo libre el dash se ejecutó de inmediato.</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con el Acelerado, detenido con un muro inmediatamente adelante.</t>
        </is>
      </c>
      <c r="C9" s="24" t="n"/>
      <c r="D9" s="18" t="inlineStr">
        <is>
          <t>Navegador:</t>
        </is>
      </c>
      <c r="E9" s="7" t="inlineStr">
        <is>
          <t>Chromium 141 de escritorio</t>
        </is>
      </c>
    </row>
    <row r="11">
      <c r="A11" s="13" t="inlineStr">
        <is>
          <t>Título del CP</t>
        </is>
      </c>
      <c r="B11" s="34" t="inlineStr">
        <is>
          <t>Poder sin efecto no consume el cooldown (decisión 25)</t>
        </is>
      </c>
      <c r="C11" s="43" t="n"/>
      <c r="D11" s="43" t="n"/>
      <c r="E11" s="44" t="n"/>
    </row>
    <row r="12">
      <c r="A12" s="45" t="n"/>
      <c r="B12" s="46" t="n"/>
      <c r="C12" s="47" t="n"/>
      <c r="D12" s="47" t="n"/>
      <c r="E12" s="48" t="n"/>
    </row>
    <row r="14">
      <c r="A14" s="13" t="inlineStr">
        <is>
          <t>Historias de Usuario</t>
        </is>
      </c>
      <c r="B14" s="7" t="inlineStr">
        <is>
          <t>HU-32</t>
        </is>
      </c>
      <c r="C14" s="13" t="inlineStr">
        <is>
          <t>Épica</t>
        </is>
      </c>
      <c r="D14" s="7" t="inlineStr">
        <is>
          <t>E7 — Poderes de los fantasmas</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Presionar espacio.</t>
        </is>
      </c>
      <c r="C18" s="24" t="n"/>
      <c r="D18" s="7" t="inlineStr">
        <is>
          <t>No hay desplazamiento.</t>
        </is>
      </c>
      <c r="E18" s="24" t="n"/>
    </row>
    <row r="19" ht="29.4" customHeight="1">
      <c r="A19" s="8" t="n">
        <v>2</v>
      </c>
      <c r="B19" s="7" t="inlineStr">
        <is>
          <t>Mover el fantasma a un pasillo libre y presionar espacio de inmediato.</t>
        </is>
      </c>
      <c r="C19" s="24" t="n"/>
      <c r="D19" s="18" t="inlineStr">
        <is>
          <t>El dash se ejecuta: el intento sin efecto no arrancó el cooldown.</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8.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CP-151</t>
        </is>
      </c>
      <c r="C1" s="13" t="inlineStr">
        <is>
          <t>Descripción / Funcionalidad</t>
        </is>
      </c>
      <c r="D1" s="18" t="inlineStr">
        <is>
          <t>HU-33 · Enfrentar a un Pacman que destruye paredes en el nivel 2</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Al romperse la pared (10,5) se vio el destello con escombros (captura); la celda quedó transitable y el fantasma del jugador pudo ocuparla.</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Igual que CP-101.</t>
        </is>
      </c>
      <c r="C9" s="24" t="n"/>
      <c r="D9" s="18" t="inlineStr">
        <is>
          <t>Navegador:</t>
        </is>
      </c>
      <c r="E9" s="7" t="inlineStr">
        <is>
          <t>Chromium 141 de escritorio</t>
        </is>
      </c>
    </row>
    <row r="11">
      <c r="A11" s="13" t="inlineStr">
        <is>
          <t>Título del CP</t>
        </is>
      </c>
      <c r="B11" s="34" t="inlineStr">
        <is>
          <t>Pared destruida: visible y transitable para todos</t>
        </is>
      </c>
      <c r="C11" s="43" t="n"/>
      <c r="D11" s="43" t="n"/>
      <c r="E11" s="44" t="n"/>
    </row>
    <row r="12">
      <c r="A12" s="45" t="n"/>
      <c r="B12" s="46" t="n"/>
      <c r="C12" s="47" t="n"/>
      <c r="D12" s="47" t="n"/>
      <c r="E12" s="48" t="n"/>
    </row>
    <row r="14">
      <c r="A14" s="13" t="inlineStr">
        <is>
          <t>Historias de Usuario</t>
        </is>
      </c>
      <c r="B14" s="7" t="inlineStr">
        <is>
          <t>HU-33</t>
        </is>
      </c>
      <c r="C14" s="13" t="inlineStr">
        <is>
          <t>Épica</t>
        </is>
      </c>
      <c r="D14" s="7" t="inlineStr">
        <is>
          <t>E8 — Dificultad del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Observar el momento en que Pacman rompe una pared.</t>
        </is>
      </c>
      <c r="C18" s="24" t="n"/>
      <c r="D18" s="7" t="inlineStr">
        <is>
          <t>Se ve un destello con escombros sobre la celda.</t>
        </is>
      </c>
      <c r="E18" s="24" t="n"/>
    </row>
    <row r="19" ht="29.4" customHeight="1">
      <c r="A19" s="8" t="n">
        <v>2</v>
      </c>
      <c r="B19" s="7" t="inlineStr">
        <is>
          <t>Mover el fantasma del jugador a través de esa celda.</t>
        </is>
      </c>
      <c r="C19" s="24" t="n"/>
      <c r="D19" s="18" t="inlineStr">
        <is>
          <t>La celda es transitable también para los fantasmas.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19.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CP-152</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82.1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24 reapariciones en el nivel 2: {'classic': 11, 'specter': 3, 'jumper': 4, 'accelerated': 3, 'naval': 3} (13 con poderes). Aparecen los cuatro tipos. (Reapariciones forzadas por script; la proporción exacta del 50 % la verifica la suite automatizada con 1000 casos.)</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2).</t>
        </is>
      </c>
      <c r="C9" s="24" t="n"/>
      <c r="D9" s="18" t="inlineStr">
        <is>
          <t>Navegador:</t>
        </is>
      </c>
      <c r="E9" s="7" t="inlineStr">
        <is>
          <t>Chromium 141 de escritorio</t>
        </is>
      </c>
    </row>
    <row r="11">
      <c r="A11" s="13" t="inlineStr">
        <is>
          <t>Título del CP</t>
        </is>
      </c>
      <c r="B11" s="34" t="inlineStr">
        <is>
          <t>Nivel 2: reaparición con cualquiera de los cuatro tipos</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42.59999999999999" customHeight="1">
      <c r="A18" s="8" t="n">
        <v>1</v>
      </c>
      <c r="B18" s="7" t="inlineStr">
        <is>
          <t>Comer fantasmas durante el nivel 2 y anotar el tipo con que reaparece cada uno (al menos 16 reapariciones).</t>
        </is>
      </c>
      <c r="C18" s="24" t="n"/>
      <c r="D18" s="7" t="inlineStr">
        <is>
          <t>Reaparecen clásicos y con poderes.</t>
        </is>
      </c>
      <c r="E18" s="24" t="n"/>
    </row>
    <row r="19" ht="42.59999999999999" customHeight="1">
      <c r="A19" s="8" t="n">
        <v>2</v>
      </c>
      <c r="B19" s="7" t="inlineStr">
        <is>
          <t>Revisar los tipos con poderes anotados.</t>
        </is>
      </c>
      <c r="C19" s="24" t="n"/>
      <c r="D19" s="18" t="inlineStr">
        <is>
          <t>Aparecen los cuatro tipos (espectro, saltarín, naval, acelerado), en una proporción cercana al 50 % con poderes.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CP-153</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Al iniciar el nivel 3: ['specter', 'jumper', 'naval', 'accelerated']. El fantasma comido reapareció como naval.</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3).</t>
        </is>
      </c>
      <c r="C9" s="24" t="n"/>
      <c r="D9" s="18" t="inlineStr">
        <is>
          <t>Navegador:</t>
        </is>
      </c>
      <c r="E9" s="7" t="inlineStr">
        <is>
          <t>Chromium 141 de escritorio</t>
        </is>
      </c>
    </row>
    <row r="11">
      <c r="A11" s="13" t="inlineStr">
        <is>
          <t>Título del CP</t>
        </is>
      </c>
      <c r="B11" s="34" t="inlineStr">
        <is>
          <t>Nivel 3: uno de cada tipo con poderes</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29.4" customHeight="1">
      <c r="A18" s="8" t="n">
        <v>1</v>
      </c>
      <c r="B18" s="7" t="inlineStr">
        <is>
          <t>Observar los cuatro fantasmas al empezar el nivel 3.</t>
        </is>
      </c>
      <c r="C18" s="24" t="n"/>
      <c r="D18" s="7" t="inlineStr">
        <is>
          <t>Hay un espectro, un saltarín, un naval y un acelerado.</t>
        </is>
      </c>
      <c r="E18" s="24" t="n"/>
    </row>
    <row r="19" ht="16.2" customHeight="1">
      <c r="A19" s="8" t="n">
        <v>2</v>
      </c>
      <c r="B19" s="7" t="inlineStr">
        <is>
          <t>Comer un fantasma y observar su reaparición.</t>
        </is>
      </c>
      <c r="C19" s="24" t="n"/>
      <c r="D19" s="18" t="inlineStr">
        <is>
          <t>Reaparece con un tipo con poderes, nunca clásico.</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1.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CP-154</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6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Los cuatro tipos se ven distintos: espectro translúcido con contorno blanco, saltarín con chevron, naval con onda y acelerado con doble chevron (captura CP-154.png); el clásico del nivel 1 no lleva marca.</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16.2" customHeight="1">
      <c r="A9" s="8" t="n">
        <v>2</v>
      </c>
      <c r="B9" s="7" t="inlineStr">
        <is>
          <t>Igual que CP-153.</t>
        </is>
      </c>
      <c r="C9" s="24" t="n"/>
      <c r="D9" s="18" t="inlineStr">
        <is>
          <t>Navegador:</t>
        </is>
      </c>
      <c r="E9" s="7" t="inlineStr">
        <is>
          <t>Chromium 141 de escritorio</t>
        </is>
      </c>
    </row>
    <row r="11">
      <c r="A11" s="13" t="inlineStr">
        <is>
          <t>Título del CP</t>
        </is>
      </c>
      <c r="B11" s="34" t="inlineStr">
        <is>
          <t>Tipos distinguibles entre sí</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Capturar los cuatro fantasmas del nivel 3.</t>
        </is>
      </c>
      <c r="C18" s="24" t="n"/>
      <c r="D18" s="7" t="inlineStr">
        <is>
          <t>Cada uno se ve distinto.</t>
        </is>
      </c>
      <c r="E18" s="24" t="n"/>
    </row>
    <row r="19" ht="42.59999999999999" customHeight="1">
      <c r="A19" s="8" t="n">
        <v>2</v>
      </c>
      <c r="B19" s="7" t="inlineStr">
        <is>
          <t>Compararlos con un clásico del nivel 1.</t>
        </is>
      </c>
      <c r="C19" s="24" t="n"/>
      <c r="D19" s="18" t="inlineStr">
        <is>
          <t>Espectro translúcido, saltarín con chevron, naval con onda, acelerado con doble chevron; el clásico sin marca.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2.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CP-155</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Pacman a 6 celdas el saltarín saltó de (13,4) a (7,6) (distancia 8); 5 s después seguía en cooldown (4.8 s).</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3), en persecución.</t>
        </is>
      </c>
      <c r="C9" s="24" t="n"/>
      <c r="D9" s="18" t="inlineStr">
        <is>
          <t>Navegador:</t>
        </is>
      </c>
      <c r="E9" s="7" t="inlineStr">
        <is>
          <t>Chromium 141 de escritorio</t>
        </is>
      </c>
    </row>
    <row r="11">
      <c r="A11" s="13" t="inlineStr">
        <is>
          <t>Título del CP</t>
        </is>
      </c>
      <c r="B11" s="34" t="inlineStr">
        <is>
          <t>Saltarín de la IA</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Acercar a Pacman a 10 celdas o menos del saltarín.</t>
        </is>
      </c>
      <c r="C18" s="24" t="n"/>
      <c r="D18" s="7" t="inlineStr">
        <is>
          <t>El saltarín se teletransporta a una celda transitable a ≤ 10 de su posición.</t>
        </is>
      </c>
      <c r="E18" s="24" t="n"/>
    </row>
    <row r="19" ht="16.2" customHeight="1">
      <c r="A19" s="8" t="n">
        <v>2</v>
      </c>
      <c r="B19" s="7" t="inlineStr">
        <is>
          <t>Observar el siguiente salto.</t>
        </is>
      </c>
      <c r="C19" s="24" t="n"/>
      <c r="D19" s="18" t="inlineStr">
        <is>
          <t>No vuelve a saltar antes de 10 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3.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CP-156</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82.1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En 16 s el naval colocó frutas falsas en t = [-0.4, 4.5, 9.6, 14.6] s (separaciones [4.9, 5.1, 5.0] s: una cada 5 s, al volver el cooldown); como máximo hubo 2 en el mapa a la vez. (Contacto con Pacman anulado por script para que no se reinicie el nivel.)</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3).</t>
        </is>
      </c>
      <c r="C9" s="24" t="n"/>
      <c r="D9" s="18" t="inlineStr">
        <is>
          <t>Navegador:</t>
        </is>
      </c>
      <c r="E9" s="7" t="inlineStr">
        <is>
          <t>Chromium 141 de escritorio</t>
        </is>
      </c>
    </row>
    <row r="11">
      <c r="A11" s="13" t="inlineStr">
        <is>
          <t>Título del CP</t>
        </is>
      </c>
      <c r="B11" s="34" t="inlineStr">
        <is>
          <t>Naval de la IA</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Observar al naval durante 15 s.</t>
        </is>
      </c>
      <c r="C18" s="24" t="n"/>
      <c r="D18" s="7" t="inlineStr">
        <is>
          <t>Coloca frutas falsas cada 5 s o más.</t>
        </is>
      </c>
      <c r="E18" s="24" t="n"/>
    </row>
    <row r="19" ht="29.4" customHeight="1">
      <c r="A19" s="8" t="n">
        <v>2</v>
      </c>
      <c r="B19" s="7" t="inlineStr">
        <is>
          <t>Contar las frutas falsas en el mapa.</t>
        </is>
      </c>
      <c r="C19" s="24" t="n"/>
      <c r="D19" s="18" t="inlineStr">
        <is>
          <t>Nunca hay más de 2; si Pacman come una sin PowerUp, pierde una vida.</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4.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CP-157</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Pacman a 5 celdas el acelerado hizo el dash: velocidad 2.5 celdas/s durante 4.9 s y cooldown 9.9 s.</t>
        </is>
      </c>
      <c r="L4" s="11" t="n"/>
    </row>
    <row r="5" ht="30" customHeight="1">
      <c r="A5" s="13" t="inlineStr">
        <is>
          <t>Prioridad (Alta, Media, Baja)</t>
        </is>
      </c>
      <c r="B5" s="18" t="inlineStr">
        <is>
          <t>Media</t>
        </is>
      </c>
      <c r="C5" s="13" t="inlineStr">
        <is>
          <t>Técnica de diseño</t>
        </is>
      </c>
      <c r="D5" s="7" t="inlineStr">
        <is>
          <t>Valores límite</t>
        </is>
      </c>
      <c r="E5" s="24" t="n"/>
      <c r="G5" s="9" t="inlineStr">
        <is>
          <t>Ciclo 3</t>
        </is>
      </c>
      <c r="H5" s="40" t="n">
        <v>46323</v>
      </c>
      <c r="I5" s="11" t="inlineStr">
        <is>
          <t>Luzzi</t>
        </is>
      </c>
      <c r="J5" s="11" t="inlineStr">
        <is>
          <t>Aprobado</t>
        </is>
      </c>
      <c r="K5" s="11" t="inlineStr">
        <is>
          <t>Con Pacman a 5 celdas el acelerado hizo el dash: velocidad 1.59375 celdas/s (50 % de 3,1875, decisión 40) durante 4.9 s y cooldown 9.8 s. Ciclo 3: build con las decisiones 39 y 40 (velocidad −25 % y fantasmas del modo Pacman −15 %).</t>
        </is>
      </c>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3), en persecución.</t>
        </is>
      </c>
      <c r="C9" s="24" t="n"/>
      <c r="D9" s="18" t="inlineStr">
        <is>
          <t>Navegador:</t>
        </is>
      </c>
      <c r="E9" s="7" t="inlineStr">
        <is>
          <t>Chromium 141 de escritorio</t>
        </is>
      </c>
    </row>
    <row r="11">
      <c r="A11" s="13" t="inlineStr">
        <is>
          <t>Título del CP</t>
        </is>
      </c>
      <c r="B11" s="34" t="inlineStr">
        <is>
          <t>Acelerado de la IA</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Acercar a Pacman a 6 celdas o menos del acelerado con pasillo libre.</t>
        </is>
      </c>
      <c r="C18" s="24" t="n"/>
      <c r="D18" s="7" t="inlineStr">
        <is>
          <t>El acelerado hace un dash.</t>
        </is>
      </c>
      <c r="E18" s="24" t="n"/>
    </row>
    <row r="19" ht="29.4" customHeight="1">
      <c r="A19" s="8" t="n">
        <v>2</v>
      </c>
      <c r="B19" s="7" t="inlineStr">
        <is>
          <t>Observarlo en los 5 s siguientes y su próximo dash.</t>
        </is>
      </c>
      <c r="C19" s="24" t="n"/>
      <c r="D19" s="18" t="inlineStr">
        <is>
          <t>Se mueve a la mitad de velocidad 5 s y no repite el dash antes de 10 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5.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CP-158</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los cuatro tipos vulnerables durante 6 s (PowerUp prolongado por script), ninguno usó su poder: sin saltos, frutas, dashes ni cruces.</t>
        </is>
      </c>
      <c r="L4" s="11" t="n"/>
    </row>
    <row r="5" ht="30" customHeight="1">
      <c r="A5" s="13" t="inlineStr">
        <is>
          <t>Prioridad (Alta, Media, Baja)</t>
        </is>
      </c>
      <c r="B5" s="18" t="inlineStr">
        <is>
          <t>Alta</t>
        </is>
      </c>
      <c r="C5" s="13" t="inlineStr">
        <is>
          <t>Técnica de diseño</t>
        </is>
      </c>
      <c r="D5" s="7" t="inlineStr">
        <is>
          <t>Tabla de decisión</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(nivel 3).</t>
        </is>
      </c>
      <c r="C9" s="24" t="n"/>
      <c r="D9" s="18" t="inlineStr">
        <is>
          <t>Navegador:</t>
        </is>
      </c>
      <c r="E9" s="7" t="inlineStr">
        <is>
          <t>Chromium 141 de escritorio</t>
        </is>
      </c>
    </row>
    <row r="11">
      <c r="A11" s="13" t="inlineStr">
        <is>
          <t>Título del CP</t>
        </is>
      </c>
      <c r="B11" s="34" t="inlineStr">
        <is>
          <t>Ningún fantasma vulnerable usa su poder</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Comer una esfera grande cerca de los fantasmas.</t>
        </is>
      </c>
      <c r="C18" s="24" t="n"/>
      <c r="D18" s="7" t="inlineStr">
        <is>
          <t>Los cuatro pasan al diseño vulnerable.</t>
        </is>
      </c>
      <c r="E18" s="24" t="n"/>
    </row>
    <row r="19" ht="29.4" customHeight="1">
      <c r="A19" s="8" t="n">
        <v>2</v>
      </c>
      <c r="B19" s="7" t="inlineStr">
        <is>
          <t>Observarlos durante el PowerUp.</t>
        </is>
      </c>
      <c r="C19" s="24" t="n"/>
      <c r="D19" s="18" t="inlineStr">
        <is>
          <t>Ninguno salta, coloca frutas, hace un dash ni atraviesa muros mientras está vulnerable.</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6.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CP-159</t>
        </is>
      </c>
      <c r="C1" s="13" t="inlineStr">
        <is>
          <t>Descripción / Funcionalidad</t>
        </is>
      </c>
      <c r="D1" s="18" t="inlineStr">
        <is>
          <t>HU-43 · Enfrentar al Saltarín, al Naval y al Acelerado en el modo Pacman</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Nivel 1: 8 reapariciones, todas clásicas; en 10 s no apareció ninguna fruta falsa.</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Pacman desde el menú (N1).</t>
        </is>
      </c>
      <c r="C9" s="24" t="n"/>
      <c r="D9" s="18" t="inlineStr">
        <is>
          <t>Navegador:</t>
        </is>
      </c>
      <c r="E9" s="7" t="inlineStr">
        <is>
          <t>Chromium 141 de escritorio</t>
        </is>
      </c>
    </row>
    <row r="11">
      <c r="A11" s="13" t="inlineStr">
        <is>
          <t>Título del CP</t>
        </is>
      </c>
      <c r="B11" s="34" t="inlineStr">
        <is>
          <t>El nivel 1 no cambia</t>
        </is>
      </c>
      <c r="C11" s="43" t="n"/>
      <c r="D11" s="43" t="n"/>
      <c r="E11" s="44" t="n"/>
    </row>
    <row r="12">
      <c r="A12" s="45" t="n"/>
      <c r="B12" s="46" t="n"/>
      <c r="C12" s="47" t="n"/>
      <c r="D12" s="47" t="n"/>
      <c r="E12" s="48" t="n"/>
    </row>
    <row r="14">
      <c r="A14" s="13" t="inlineStr">
        <is>
          <t>Historias de Usuario</t>
        </is>
      </c>
      <c r="B14" s="7" t="inlineStr">
        <is>
          <t>HU-43</t>
        </is>
      </c>
      <c r="C14" s="13" t="inlineStr">
        <is>
          <t>Épica</t>
        </is>
      </c>
      <c r="D14" s="7" t="inlineStr">
        <is>
          <t>E4 — Niveles y progresión de dificultad</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Jugar el nivel 1 comiendo al menos 4 fantasmas.</t>
        </is>
      </c>
      <c r="C18" s="24" t="n"/>
      <c r="D18" s="7" t="inlineStr">
        <is>
          <t>Los fantasmas reaparecen siempre clásicos.</t>
        </is>
      </c>
      <c r="E18" s="24" t="n"/>
    </row>
    <row r="19" ht="16.2" customHeight="1">
      <c r="A19" s="8" t="n">
        <v>2</v>
      </c>
      <c r="B19" s="7" t="inlineStr">
        <is>
          <t>Observar el mapa.</t>
        </is>
      </c>
      <c r="C19" s="24" t="n"/>
      <c r="D19" s="18" t="inlineStr">
        <is>
          <t>No aparecen frutas falsas ni fantasmas con poderes.</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7.xml><?xml version="1.0" encoding="utf-8"?>
<worksheet xmlns="http://schemas.openxmlformats.org/spreadsheetml/2006/main">
  <sheetPr>
    <outlinePr summaryBelow="1" summaryRight="1"/>
    <pageSetUpPr fitToPage="1"/>
  </sheetPr>
  <dimension ref="A1:L21"/>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CP-160</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El fantasma avanzó por la fila 7 hacia Pacman; Pacman cambió de dirección y mantuvo la distancia (mínima 2.6 celdas, no lo alcanzó).</t>
        </is>
      </c>
      <c r="L4" s="11" t="n"/>
    </row>
    <row r="5" ht="30" customHeight="1">
      <c r="A5" s="13" t="inlineStr">
        <is>
          <t>Prioridad (Alta, Media, Baja)</t>
        </is>
      </c>
      <c r="B5" s="18" t="inlineStr">
        <is>
          <t>Alta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nivel 1, Pacman sin PowerUp.</t>
        </is>
      </c>
      <c r="C9" s="24" t="n"/>
      <c r="D9" s="18" t="inlineStr">
        <is>
          <t>Navegador:</t>
        </is>
      </c>
      <c r="E9" s="7" t="inlineStr">
        <is>
          <t>Chromium 141 de escritorio</t>
        </is>
      </c>
    </row>
    <row r="10" ht="16.2" customHeight="1">
      <c r="A10" s="8" t="n"/>
      <c r="B10" s="7" t="n"/>
      <c r="C10" s="24" t="n"/>
      <c r="D10" s="18" t="inlineStr">
        <is>
          <t>Umbral:</t>
        </is>
      </c>
      <c r="E10" s="7" t="inlineStr">
        <is>
          <t>4 celdas de recorrido</t>
        </is>
      </c>
    </row>
    <row r="12">
      <c r="A12" s="13" t="inlineStr">
        <is>
          <t>Título del CP</t>
        </is>
      </c>
      <c r="B12" s="34" t="inlineStr">
        <is>
          <t>Pacman huye de un fantasma cercano (decisión 17)</t>
        </is>
      </c>
      <c r="C12" s="43" t="n"/>
      <c r="D12" s="43" t="n"/>
      <c r="E12" s="44" t="n"/>
    </row>
    <row r="13">
      <c r="A13" s="45" t="n"/>
      <c r="B13" s="46" t="n"/>
      <c r="C13" s="47" t="n"/>
      <c r="D13" s="47" t="n"/>
      <c r="E13" s="48" t="n"/>
    </row>
    <row r="15">
      <c r="A15" s="13" t="inlineStr">
        <is>
          <t>Historias de Usuario</t>
        </is>
      </c>
      <c r="B15" s="7" t="inlineStr">
        <is>
          <t>HU-24</t>
        </is>
      </c>
      <c r="C15" s="13" t="inlineStr">
        <is>
          <t>Épica</t>
        </is>
      </c>
      <c r="D15" s="7" t="inlineStr">
        <is>
          <t>E6 — Modo GhostMan</t>
        </is>
      </c>
      <c r="E15" s="24" t="n"/>
    </row>
    <row r="16" ht="28" customHeight="1">
      <c r="A16" s="13" t="inlineStr">
        <is>
          <t>Estado Automatización</t>
        </is>
      </c>
      <c r="B16" s="7" t="inlineStr">
        <is>
          <t>Automatizado (script de navegador, Entrega 2)</t>
        </is>
      </c>
      <c r="C16" s="13" t="inlineStr">
        <is>
          <t>Camino feliz</t>
        </is>
      </c>
      <c r="D16" s="7" t="inlineStr">
        <is>
          <t>No</t>
        </is>
      </c>
      <c r="E16" s="24" t="n"/>
    </row>
    <row r="18">
      <c r="A18" s="13" t="inlineStr">
        <is>
          <t>Pasos #</t>
        </is>
      </c>
      <c r="B18" s="13" t="inlineStr">
        <is>
          <t>Detalle de pasos</t>
        </is>
      </c>
      <c r="C18" s="24" t="n"/>
      <c r="D18" s="13" t="inlineStr">
        <is>
          <t>Resultado esperado</t>
        </is>
      </c>
      <c r="E18" s="24" t="n"/>
    </row>
    <row r="19" ht="29.4" customHeight="1">
      <c r="A19" s="8" t="n">
        <v>1</v>
      </c>
      <c r="B19" s="7" t="inlineStr">
        <is>
          <t>Acercar el fantasma del jugador a Pacman por un pasillo.</t>
        </is>
      </c>
      <c r="C19" s="24" t="n"/>
      <c r="D19" s="7" t="inlineStr">
        <is>
          <t>Al quedar a 4 celdas o menos, Pacman cambia de dirección.</t>
        </is>
      </c>
      <c r="E19" s="24" t="n"/>
    </row>
    <row r="20" ht="16.2" customHeight="1">
      <c r="A20" s="8" t="n">
        <v>2</v>
      </c>
      <c r="B20" s="7" t="inlineStr">
        <is>
          <t>Medir la distancia en los 2 s siguientes.</t>
        </is>
      </c>
      <c r="C20" s="24" t="n"/>
      <c r="D20" s="18" t="inlineStr">
        <is>
          <t>Pacman se aleja del fantasma.</t>
        </is>
      </c>
      <c r="E20" s="24" t="n"/>
    </row>
    <row r="21" ht="24" customHeight="1">
      <c r="A21" s="21" t="inlineStr">
        <is>
          <t>El caso se aprueba solo si se cumple todo el resultado esperado del último paso (en negrita); si cualquier parte no se cumple, se registra como Fallido.</t>
        </is>
      </c>
    </row>
  </sheetData>
  <mergeCells count="24">
    <mergeCell ref="D20:E20"/>
    <mergeCell ref="B7:C7"/>
    <mergeCell ref="D1:E1"/>
    <mergeCell ref="D19:E19"/>
    <mergeCell ref="B12:E13"/>
    <mergeCell ref="B18:C18"/>
    <mergeCell ref="D2:E2"/>
    <mergeCell ref="A12:A13"/>
    <mergeCell ref="B8:C8"/>
    <mergeCell ref="A3:B3"/>
    <mergeCell ref="A21:E21"/>
    <mergeCell ref="G1:L1"/>
    <mergeCell ref="D16:E16"/>
    <mergeCell ref="D7:E7"/>
    <mergeCell ref="B19:C19"/>
    <mergeCell ref="B10:C10"/>
    <mergeCell ref="D4:E4"/>
    <mergeCell ref="D18:E18"/>
    <mergeCell ref="B9:C9"/>
    <mergeCell ref="D3:E3"/>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8.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CP-161</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30"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Con PowerUp activo y el fantasma quieto a 5 celdas, Pacman fue hacia él y lo comió en 1.0 s.</t>
        </is>
      </c>
      <c r="L4" s="11" t="n"/>
    </row>
    <row r="5" ht="30" customHeight="1">
      <c r="A5" s="13" t="inlineStr">
        <is>
          <t>Prioridad (Alta, Media, Baja)</t>
        </is>
      </c>
      <c r="B5" s="18" t="inlineStr">
        <is>
          <t>Media</t>
        </is>
      </c>
      <c r="C5" s="13" t="inlineStr">
        <is>
          <t>Técnica de diseño</t>
        </is>
      </c>
      <c r="D5" s="7" t="inlineStr">
        <is>
          <t>Partición de equivalencia</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42.59999999999999" customHeight="1">
      <c r="A9" s="8" t="n">
        <v>2</v>
      </c>
      <c r="B9" s="7" t="inlineStr">
        <is>
          <t>Partida en curso en modo GhostMan (GM), PowerUp de Pacman activo, fantasma del jugador a 8 celdas o menos.</t>
        </is>
      </c>
      <c r="C9" s="24" t="n"/>
      <c r="D9" s="18" t="inlineStr">
        <is>
          <t>Navegador:</t>
        </is>
      </c>
      <c r="E9" s="7" t="inlineStr">
        <is>
          <t>Chromium 141 de escritorio</t>
        </is>
      </c>
    </row>
    <row r="11">
      <c r="A11" s="13" t="inlineStr">
        <is>
          <t>Título del CP</t>
        </is>
      </c>
      <c r="B11" s="34" t="inlineStr">
        <is>
          <t>Pacman persigue fantasmas vulnerables (decisión 17)</t>
        </is>
      </c>
      <c r="C11" s="43" t="n"/>
      <c r="D11" s="43" t="n"/>
      <c r="E11" s="44" t="n"/>
    </row>
    <row r="12">
      <c r="A12" s="45" t="n"/>
      <c r="B12" s="46" t="n"/>
      <c r="C12" s="47" t="n"/>
      <c r="D12" s="47" t="n"/>
      <c r="E12" s="48" t="n"/>
    </row>
    <row r="14">
      <c r="A14" s="13" t="inlineStr">
        <is>
          <t>Historias de Usuario</t>
        </is>
      </c>
      <c r="B14" s="7" t="inlineStr">
        <is>
          <t>HU-24</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16.2" customHeight="1">
      <c r="A18" s="8" t="n">
        <v>1</v>
      </c>
      <c r="B18" s="7" t="inlineStr">
        <is>
          <t>Dejar quieto al fantasma del jugador.</t>
        </is>
      </c>
      <c r="C18" s="24" t="n"/>
      <c r="D18" s="7" t="inlineStr">
        <is>
          <t>Pacman se dirige hacia él.</t>
        </is>
      </c>
      <c r="E18" s="24" t="n"/>
    </row>
    <row r="19" ht="16.2" customHeight="1">
      <c r="A19" s="8" t="n">
        <v>2</v>
      </c>
      <c r="B19" s="7" t="inlineStr">
        <is>
          <t>Esperar.</t>
        </is>
      </c>
      <c r="C19" s="24" t="n"/>
      <c r="D19" s="18" t="inlineStr">
        <is>
          <t>Pacman lo alcanza y lo come.</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29.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CP-162</t>
        </is>
      </c>
      <c r="C1" s="13" t="inlineStr">
        <is>
          <t>Descripción / Funcionalidad</t>
        </is>
      </c>
      <c r="D1" s="18" t="inlineStr">
        <is>
          <t>HU-24 · Controlar al fantasma por el mapa</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Fruta falsa a 3 celdas: Pacman fue por ella, la consumió y perdió una vida (3 → 2). (Fruta ubicada por script.)</t>
        </is>
      </c>
      <c r="L4" s="11" t="n"/>
    </row>
    <row r="5" ht="30" customHeight="1">
      <c r="A5" s="13" t="inlineStr">
        <is>
          <t>Prioridad (Alta, Media, Baja)</t>
        </is>
      </c>
      <c r="B5" s="18" t="inlineStr">
        <is>
          <t>Media</t>
        </is>
      </c>
      <c r="C5" s="13" t="inlineStr">
        <is>
          <t>Técnica de diseño</t>
        </is>
      </c>
      <c r="D5" s="7" t="inlineStr">
        <is>
          <t>Adivinación de errores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curso en modo GhostMan (GM) con el Naval, Pacman sin PowerUp.</t>
        </is>
      </c>
      <c r="C9" s="24" t="n"/>
      <c r="D9" s="18" t="inlineStr">
        <is>
          <t>Navegador:</t>
        </is>
      </c>
      <c r="E9" s="7" t="inlineStr">
        <is>
          <t>Chromium 141 de escritorio</t>
        </is>
      </c>
    </row>
    <row r="11">
      <c r="A11" s="13" t="inlineStr">
        <is>
          <t>Título del CP</t>
        </is>
      </c>
      <c r="B11" s="34" t="inlineStr">
        <is>
          <t>Pacman va hacia una fruta falsa cercana (decisión 17)</t>
        </is>
      </c>
      <c r="C11" s="43" t="n"/>
      <c r="D11" s="43" t="n"/>
      <c r="E11" s="44" t="n"/>
    </row>
    <row r="12">
      <c r="A12" s="45" t="n"/>
      <c r="B12" s="46" t="n"/>
      <c r="C12" s="47" t="n"/>
      <c r="D12" s="47" t="n"/>
      <c r="E12" s="48" t="n"/>
    </row>
    <row r="14">
      <c r="A14" s="13" t="inlineStr">
        <is>
          <t>Historias de Usuario</t>
        </is>
      </c>
      <c r="B14" s="7" t="inlineStr">
        <is>
          <t>HU-24</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No</t>
        </is>
      </c>
      <c r="E15" s="24" t="n"/>
    </row>
    <row r="17">
      <c r="A17" s="13" t="inlineStr">
        <is>
          <t>Pasos #</t>
        </is>
      </c>
      <c r="B17" s="13" t="inlineStr">
        <is>
          <t>Detalle de pasos</t>
        </is>
      </c>
      <c r="C17" s="24" t="n"/>
      <c r="D17" s="13" t="inlineStr">
        <is>
          <t>Resultado esperado</t>
        </is>
      </c>
      <c r="E17" s="24" t="n"/>
    </row>
    <row r="18" ht="29.4" customHeight="1">
      <c r="A18" s="8" t="n">
        <v>1</v>
      </c>
      <c r="B18" s="7" t="inlineStr">
        <is>
          <t>Colocar una fruta falsa a 5 celdas o menos de Pacman.</t>
        </is>
      </c>
      <c r="C18" s="24" t="n"/>
      <c r="D18" s="7" t="inlineStr">
        <is>
          <t>Pacman se desvía hacia la fruta.</t>
        </is>
      </c>
      <c r="E18" s="24" t="n"/>
    </row>
    <row r="19" ht="29.4" customHeight="1">
      <c r="A19" s="8" t="n">
        <v>2</v>
      </c>
      <c r="B19" s="7" t="inlineStr">
        <is>
          <t>Esperar.</t>
        </is>
      </c>
      <c r="C19" s="24" t="n"/>
      <c r="D19" s="18" t="inlineStr">
        <is>
          <t>Pacman la consume y pierde una vida: no distingue la falsa de la real.</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30.xml><?xml version="1.0" encoding="utf-8"?>
<worksheet xmlns="http://schemas.openxmlformats.org/spreadsheetml/2006/main">
  <sheetPr>
    <outlinePr summaryBelow="1" summaryRight="1"/>
    <pageSetUpPr fitToPage="1"/>
  </sheetPr>
  <dimension ref="A1:L20"/>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inlineStr">
        <is>
          <t>CP-163</t>
        </is>
      </c>
      <c r="C1" s="13" t="inlineStr">
        <is>
          <t>Descripción / Funcionalidad</t>
        </is>
      </c>
      <c r="D1" s="18" t="inlineStr">
        <is>
          <t>HU-19 · Cerrar la partida y volver a jugar</t>
        </is>
      </c>
      <c r="E1" s="24" t="n"/>
      <c r="G1" s="30" t="inlineStr">
        <is>
          <t>Registro de ejecución</t>
        </is>
      </c>
      <c r="H1" s="23" t="n"/>
      <c r="I1" s="23" t="n"/>
      <c r="J1" s="23" t="n"/>
      <c r="K1" s="23" t="n"/>
      <c r="L1" s="24" t="n"/>
    </row>
    <row r="2">
      <c r="A2" s="13" t="inlineStr">
        <is>
          <t>Creado por</t>
        </is>
      </c>
      <c r="B2" s="18" t="inlineStr">
        <is>
          <t>Luzzi</t>
        </is>
      </c>
      <c r="C2" s="13" t="inlineStr">
        <is>
          <t>Versión</t>
        </is>
      </c>
      <c r="D2" s="18" t="inlineStr">
        <is>
          <t>1</t>
        </is>
      </c>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f>IFERROR(IF(INDEX('Reporte de ejecución - Entrega2'!$I$4:$I$132,MATCH($B$1,'Reporte de ejecución - Entrega2'!$A$4:$A$132,0))="","Sin ejecutar",INDEX('Reporte de ejecución - Entrega2'!$I$4:$I$132,MATCH($B$1,'Reporte de ejecución - Entrega2'!$A$4:$A$132,0))),"Sin ejecutar")</f>
        <v/>
      </c>
      <c r="E3" s="24" t="n"/>
      <c r="G3" s="9" t="inlineStr">
        <is>
          <t>Ciclo 1</t>
        </is>
      </c>
      <c r="H3" s="40" t="n"/>
      <c r="I3" s="11" t="n"/>
      <c r="J3" s="11" t="n"/>
      <c r="K3" s="11" t="n"/>
      <c r="L3" s="11" t="n"/>
    </row>
    <row r="4" ht="42.59999999999999" customHeight="1">
      <c r="C4" s="13" t="inlineStr">
        <is>
          <t>Estado en la Entrega 1</t>
        </is>
      </c>
      <c r="D4" s="7" t="inlineStr">
        <is>
          <t>No existía (caso nuevo de la V2)</t>
        </is>
      </c>
      <c r="E4" s="24" t="n"/>
      <c r="G4" s="9" t="inlineStr">
        <is>
          <t>Ciclo 2</t>
        </is>
      </c>
      <c r="H4" s="40" t="n">
        <v>46307</v>
      </c>
      <c r="I4" s="11" t="inlineStr">
        <is>
          <t>Luzzi</t>
        </is>
      </c>
      <c r="J4" s="11" t="inlineStr">
        <is>
          <t>Aprobado</t>
        </is>
      </c>
      <c r="K4" s="11" t="inlineStr">
        <is>
          <t>«Volver a jugar» repitió modo GhostMan con el Saltarín, nivel 1, 3 vidas de Pacman, puntaje 0; «Menú principal» volvió al menú.</t>
        </is>
      </c>
      <c r="L4" s="11" t="n"/>
    </row>
    <row r="5" ht="30" customHeight="1">
      <c r="A5" s="13" t="inlineStr">
        <is>
          <t>Prioridad (Alta, Media, Baja)</t>
        </is>
      </c>
      <c r="B5" s="18" t="inlineStr">
        <is>
          <t>Alta</t>
        </is>
      </c>
      <c r="C5" s="13" t="inlineStr">
        <is>
          <t>Técnica de diseño</t>
        </is>
      </c>
      <c r="D5" s="7" t="inlineStr">
        <is>
          <t>Transición de estados</t>
        </is>
      </c>
      <c r="E5" s="24" t="n"/>
      <c r="G5" s="9" t="inlineStr">
        <is>
          <t>Ciclo 3</t>
        </is>
      </c>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is>
          <t>Abrir la aplicación en un navegador de escritorio.</t>
        </is>
      </c>
      <c r="C8" s="24" t="n"/>
      <c r="D8" s="18" t="inlineStr">
        <is>
          <t>Entorno:</t>
        </is>
      </c>
      <c r="E8" s="7" t="inlineStr">
        <is>
          <t>Build del commit 7ec70df (V2)</t>
        </is>
      </c>
    </row>
    <row r="9" ht="29.4" customHeight="1">
      <c r="A9" s="8" t="n">
        <v>2</v>
      </c>
      <c r="B9" s="7" t="inlineStr">
        <is>
          <t>Partida en modo GhostMan con el Saltarín, terminada en Game Over.</t>
        </is>
      </c>
      <c r="C9" s="24" t="n"/>
      <c r="D9" s="18" t="inlineStr">
        <is>
          <t>Navegador:</t>
        </is>
      </c>
      <c r="E9" s="7" t="inlineStr">
        <is>
          <t>Chromium 141 de escritorio</t>
        </is>
      </c>
    </row>
    <row r="11">
      <c r="A11" s="13" t="inlineStr">
        <is>
          <t>Título del CP</t>
        </is>
      </c>
      <c r="B11" s="34" t="inlineStr">
        <is>
          <t>Volver a jugar y Menú principal (decisión 29)</t>
        </is>
      </c>
      <c r="C11" s="43" t="n"/>
      <c r="D11" s="43" t="n"/>
      <c r="E11" s="44" t="n"/>
    </row>
    <row r="12">
      <c r="A12" s="45" t="n"/>
      <c r="B12" s="46" t="n"/>
      <c r="C12" s="47" t="n"/>
      <c r="D12" s="47" t="n"/>
      <c r="E12" s="48" t="n"/>
    </row>
    <row r="14">
      <c r="A14" s="13" t="inlineStr">
        <is>
          <t>Historias de Usuario</t>
        </is>
      </c>
      <c r="B14" s="7" t="inlineStr">
        <is>
          <t>HU-19</t>
        </is>
      </c>
      <c r="C14" s="13" t="inlineStr">
        <is>
          <t>Épica</t>
        </is>
      </c>
      <c r="D14" s="7" t="inlineStr">
        <is>
          <t>E6 — Modo GhostMan</t>
        </is>
      </c>
      <c r="E14" s="24" t="n"/>
    </row>
    <row r="15" ht="28" customHeight="1">
      <c r="A15" s="13" t="inlineStr">
        <is>
          <t>Estado Automatización</t>
        </is>
      </c>
      <c r="B15" s="7" t="inlineStr">
        <is>
          <t>Automatizado (script de navegador, Entrega 2)</t>
        </is>
      </c>
      <c r="C15" s="13" t="inlineStr">
        <is>
          <t>Camino feliz</t>
        </is>
      </c>
      <c r="D15" s="7" t="inlineStr">
        <is>
          <t>Sí</t>
        </is>
      </c>
      <c r="E15" s="24" t="n"/>
    </row>
    <row r="17">
      <c r="A17" s="13" t="inlineStr">
        <is>
          <t>Pasos #</t>
        </is>
      </c>
      <c r="B17" s="13" t="inlineStr">
        <is>
          <t>Detalle de pasos</t>
        </is>
      </c>
      <c r="C17" s="24" t="n"/>
      <c r="D17" s="13" t="inlineStr">
        <is>
          <t>Resultado esperado</t>
        </is>
      </c>
      <c r="E17" s="24" t="n"/>
    </row>
    <row r="18" ht="42.59999999999999" customHeight="1">
      <c r="A18" s="8" t="n">
        <v>1</v>
      </c>
      <c r="B18" s="7" t="inlineStr">
        <is>
          <t>Presionar «Volver a jugar».</t>
        </is>
      </c>
      <c r="C18" s="24" t="n"/>
      <c r="D18" s="7" t="inlineStr">
        <is>
          <t>Empieza una partida nueva en modo GhostMan con el Saltarín, desde el nivel 1, con 3 vidas de Pacman y puntaje 0.</t>
        </is>
      </c>
      <c r="E18" s="24" t="n"/>
    </row>
    <row r="19" ht="16.2" customHeight="1">
      <c r="A19" s="8" t="n">
        <v>2</v>
      </c>
      <c r="B19" s="7" t="inlineStr">
        <is>
          <t>Terminar esa partida y presionar «Menú principal».</t>
        </is>
      </c>
      <c r="C19" s="24" t="n"/>
      <c r="D19" s="18" t="inlineStr">
        <is>
          <t>Se vuelve al menú principal.</t>
        </is>
      </c>
      <c r="E19" s="24" t="n"/>
    </row>
    <row r="20" ht="24" customHeight="1">
      <c r="A20" s="21" t="inlineStr">
        <is>
          <t>El caso se aprueba solo si se cumple todo el resultado esperado del último paso (en negrita); si cualquier parte no se cumple, se registra como Fallido.</t>
        </is>
      </c>
    </row>
  </sheetData>
  <mergeCells count="23">
    <mergeCell ref="B7:C7"/>
    <mergeCell ref="D1:E1"/>
    <mergeCell ref="D19:E19"/>
    <mergeCell ref="B11:E12"/>
    <mergeCell ref="B18:C18"/>
    <mergeCell ref="D2:E2"/>
    <mergeCell ref="B17:C17"/>
    <mergeCell ref="B8:C8"/>
    <mergeCell ref="D17:E17"/>
    <mergeCell ref="A3:B3"/>
    <mergeCell ref="G1:L1"/>
    <mergeCell ref="D7:E7"/>
    <mergeCell ref="B19:C19"/>
    <mergeCell ref="D4:E4"/>
    <mergeCell ref="D18:E18"/>
    <mergeCell ref="B9:C9"/>
    <mergeCell ref="D3:E3"/>
    <mergeCell ref="G6:L7"/>
    <mergeCell ref="A20:E20"/>
    <mergeCell ref="D15:E15"/>
    <mergeCell ref="D5:E5"/>
    <mergeCell ref="D14:E14"/>
    <mergeCell ref="A11:A12"/>
  </mergeCells>
  <dataValidations count="1">
    <dataValidation sqref="J3:J5" showDropDown="0" showInputMessage="0" showErrorMessage="0" allowBlank="1" type="list">
      <formula1>"Aprobado,Fallido,Bloqueado,No ejecutado,No aplica"</formula1>
    </dataValidation>
  </dataValidations>
  <hyperlinks>
    <hyperlink xmlns:r="http://schemas.openxmlformats.org/officeDocument/2006/relationships" ref="A3" r:id="rId1"/>
  </hyperlinks>
  <pageMargins left="0.75" right="0.75" top="1" bottom="1" header="0.5" footer="0.5"/>
  <pageSetup orientation="landscape" fitToHeight="0" fitToWidth="1"/>
</worksheet>
</file>

<file path=xl/worksheets/sheet131.xml><?xml version="1.0" encoding="utf-8"?>
<worksheet xmlns="http://schemas.openxmlformats.org/spreadsheetml/2006/main">
  <sheetPr>
    <tabColor rgb="00C00000"/>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37" t="inlineStr">
        <is>
          <t>Reporte de defecto</t>
        </is>
      </c>
    </row>
    <row r="2">
      <c r="A2" s="2" t="inlineStr">
        <is>
          <t>Detalle del defecto (sección 13.3). La fila del «Registro de defectos» resume estos datos.</t>
        </is>
      </c>
    </row>
    <row r="4" ht="16.2" customHeight="1">
      <c r="A4" s="13" t="inlineStr">
        <is>
          <t>ID</t>
        </is>
      </c>
      <c r="B4" s="11" t="inlineStr">
        <is>
          <t>DEF-001</t>
        </is>
      </c>
    </row>
    <row r="5" ht="29.4" customHeight="1">
      <c r="A5" s="13" t="inlineStr">
        <is>
          <t>Título</t>
        </is>
      </c>
      <c r="B5" s="11" t="inlineStr">
        <is>
          <t>El contador de vidas se muestra arriba a la derecha como círculos amarillos en lugar de íconos de Pacman abajo a la izquierda</t>
        </is>
      </c>
    </row>
    <row r="6" ht="16.2" customHeight="1">
      <c r="A6" s="13" t="inlineStr">
        <is>
          <t>Caso de prueba</t>
        </is>
      </c>
      <c r="B6" s="11" t="inlineStr">
        <is>
          <t>CP-034 - Presentación del contador de vidas</t>
        </is>
      </c>
    </row>
    <row r="7" ht="16.2" customHeight="1">
      <c r="A7" s="13" t="inlineStr">
        <is>
          <t>Historia de usuario</t>
        </is>
      </c>
      <c r="B7" s="11" t="inlineStr">
        <is>
          <t>HU-09 - «Las vidas se muestran como íconos de Pacman abajo a la izquierda»</t>
        </is>
      </c>
    </row>
    <row r="8" ht="16.2" customHeight="1">
      <c r="A8" s="13" t="inlineStr">
        <is>
          <t>Severidad</t>
        </is>
      </c>
      <c r="B8" s="11" t="inlineStr">
        <is>
          <t>Menor</t>
        </is>
      </c>
    </row>
    <row r="9" ht="16.2" customHeight="1">
      <c r="A9" s="13" t="inlineStr">
        <is>
          <t>Prioridad</t>
        </is>
      </c>
      <c r="B9" s="11" t="inlineStr">
        <is>
          <t>Media</t>
        </is>
      </c>
    </row>
    <row r="10" ht="16.2" customHeight="1">
      <c r="A10" s="13" t="inlineStr">
        <is>
          <t>Estado</t>
        </is>
      </c>
      <c r="B10" s="11" t="inlineStr">
        <is>
          <t>Verificado</t>
        </is>
      </c>
    </row>
    <row r="11" ht="16.2" customHeight="1">
      <c r="A11" s="13" t="inlineStr">
        <is>
          <t>Versión / commit</t>
        </is>
      </c>
      <c r="B11" s="11" t="inlineStr">
        <is>
          <t>V1 - commit a completar (corregido en V2 - 7ec70df)</t>
        </is>
      </c>
    </row>
    <row r="12" ht="16.2" customHeight="1">
      <c r="A12" s="13" t="inlineStr">
        <is>
          <t>Entorno</t>
        </is>
      </c>
      <c r="B12" s="11" t="inlineStr">
        <is>
          <t>Chrome 154 escritorio (macOS), 1291 × 693</t>
        </is>
      </c>
    </row>
    <row r="13" ht="16.2" customHeight="1">
      <c r="A13" s="13" t="inlineStr">
        <is>
          <t>Precondiciones</t>
        </is>
      </c>
      <c r="B13" s="11" t="inlineStr">
        <is>
          <t>Partida recién iniciada en modo Pacman.</t>
        </is>
      </c>
    </row>
    <row r="14" ht="42.59999999999999" customHeight="1">
      <c r="A14" s="13" t="inlineStr">
        <is>
          <t>Pasos para reproducir</t>
        </is>
      </c>
      <c r="B14" s="11" t="inlineStr">
        <is>
          <t>1) Abrir la aplicación.
2) Iniciar una partida en modo Pacman.
3) Observar el extremo inferior izquierdo de la pantalla.</t>
        </is>
      </c>
    </row>
    <row r="15" ht="29.4" customHeight="1">
      <c r="A15" s="13" t="inlineStr">
        <is>
          <t>Resultado esperado</t>
        </is>
      </c>
      <c r="B15" s="11" t="inlineStr">
        <is>
          <t>Se muestran 3 íconos de Pacman como contador de vidas, abajo a la izquierda (HU-09).</t>
        </is>
      </c>
    </row>
    <row r="16" ht="29.4" customHeight="1">
      <c r="A16" s="13" t="inlineStr">
        <is>
          <t>Resultado obtenido</t>
        </is>
      </c>
      <c r="B16" s="11" t="inlineStr">
        <is>
          <t>En la V1: el contador está arriba a la derecha, como círculos amarillos; abajo a la izquierda no hay ningún indicador.</t>
        </is>
      </c>
    </row>
    <row r="17" ht="16.2" customHeight="1">
      <c r="A17" s="13" t="inlineStr">
        <is>
          <t>Reproducibilidad</t>
        </is>
      </c>
      <c r="B17" s="11" t="inlineStr">
        <is>
          <t>Siempre</t>
        </is>
      </c>
    </row>
    <row r="18" ht="16.2" customHeight="1">
      <c r="A18" s="13" t="inlineStr">
        <is>
          <t>Evidencia</t>
        </is>
      </c>
      <c r="B18" s="11" t="inlineStr">
        <is>
          <t>Entrega 1: captura del HUD de la V1. Entrega 2: shots/CONF-DEF-001.png (Anexo B).</t>
        </is>
      </c>
    </row>
    <row r="19" ht="16.2" customHeight="1">
      <c r="A19" s="13" t="inlineStr">
        <is>
          <t>Reportado por</t>
        </is>
      </c>
      <c r="B19" s="11" t="inlineStr">
        <is>
          <t>Rodriguez Castro</t>
        </is>
      </c>
    </row>
    <row r="20" ht="16.2" customHeight="1">
      <c r="A20" s="13" t="inlineStr">
        <is>
          <t>Confirmado por</t>
        </is>
      </c>
      <c r="B20" s="11" t="inlineStr">
        <is>
          <t>Luzzi</t>
        </is>
      </c>
    </row>
    <row r="21" ht="16.2" customHeight="1">
      <c r="A21" s="13" t="inlineStr">
        <is>
          <t>Fecha</t>
        </is>
      </c>
      <c r="B21" s="40" t="n">
        <v>46294</v>
      </c>
    </row>
    <row r="22" ht="42.59999999999999" customHeight="1">
      <c r="A22" s="13" t="inlineStr">
        <is>
          <t>Confirmación (Entrega 2)</t>
        </is>
      </c>
      <c r="B22" s="11" t="inlineStr">
        <is>
          <t>12/10/2026, Luzzi, commit 7ec70df, Chromium 141: barra «Vidas» debajo del mapa, abajo a la izquierda, con 3 íconos de Pacman (sin número); al perder una vida quedan 2. Resultado: Aprobado. Estado: Verificado.</t>
        </is>
      </c>
    </row>
  </sheetData>
  <mergeCells count="2">
    <mergeCell ref="A2:B2"/>
    <mergeCell ref="A1:B1"/>
  </mergeCells>
  <pageMargins left="0.75" right="0.75" top="1" bottom="1" header="0.5" footer="0.5"/>
</worksheet>
</file>

<file path=xl/worksheets/sheet132.xml><?xml version="1.0" encoding="utf-8"?>
<worksheet xmlns="http://schemas.openxmlformats.org/spreadsheetml/2006/main">
  <sheetPr>
    <tabColor rgb="00C00000"/>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37" t="inlineStr">
        <is>
          <t>Reporte de defecto</t>
        </is>
      </c>
    </row>
    <row r="2">
      <c r="A2" s="2" t="inlineStr">
        <is>
          <t>Detalle del defecto (sección 13.3). La fila del «Registro de defectos» resume estos datos.</t>
        </is>
      </c>
    </row>
    <row r="4" ht="16.2" customHeight="1">
      <c r="A4" s="13" t="inlineStr">
        <is>
          <t>ID</t>
        </is>
      </c>
      <c r="B4" s="11" t="inlineStr">
        <is>
          <t>DEF-002</t>
        </is>
      </c>
    </row>
    <row r="5" ht="29.4" customHeight="1">
      <c r="A5" s="13" t="inlineStr">
        <is>
          <t>Título</t>
        </is>
      </c>
      <c r="B5" s="11" t="inlineStr">
        <is>
          <t>El menú principal elige la opción que tiene el puntero encima al cargar la página, aunque el mouse no se haya movido</t>
        </is>
      </c>
    </row>
    <row r="6" ht="16.2" customHeight="1">
      <c r="A6" s="13" t="inlineStr">
        <is>
          <t>Caso de prueba</t>
        </is>
      </c>
      <c r="B6" s="11" t="inlineStr">
        <is>
          <t>Exploratoria (detectado por scripts/verify/ui/inc10-menu-carrusel.js)</t>
        </is>
      </c>
    </row>
    <row r="7" ht="16.2" customHeight="1">
      <c r="A7" s="13" t="inlineStr">
        <is>
          <t>Historia de usuario</t>
        </is>
      </c>
      <c r="B7" s="11" t="inlineStr">
        <is>
          <t>HU-22 - «Por defecto está seleccionado el Modo PacMan»</t>
        </is>
      </c>
    </row>
    <row r="8" ht="16.2" customHeight="1">
      <c r="A8" s="13" t="inlineStr">
        <is>
          <t>Severidad</t>
        </is>
      </c>
      <c r="B8" s="11" t="inlineStr">
        <is>
          <t>Menor</t>
        </is>
      </c>
    </row>
    <row r="9" ht="16.2" customHeight="1">
      <c r="A9" s="13" t="inlineStr">
        <is>
          <t>Prioridad</t>
        </is>
      </c>
      <c r="B9" s="11" t="inlineStr">
        <is>
          <t>Media</t>
        </is>
      </c>
    </row>
    <row r="10" ht="16.2" customHeight="1">
      <c r="A10" s="13" t="inlineStr">
        <is>
          <t>Estado</t>
        </is>
      </c>
      <c r="B10" s="11" t="inlineStr">
        <is>
          <t>Corregido</t>
        </is>
      </c>
    </row>
    <row r="11" ht="16.2" customHeight="1">
      <c r="A11" s="13" t="inlineStr">
        <is>
          <t>Versión / commit</t>
        </is>
      </c>
      <c r="B11" s="11" t="inlineStr">
        <is>
          <t>V2 - b451d52 (corregido en 65df127)</t>
        </is>
      </c>
    </row>
    <row r="12" ht="16.2" customHeight="1">
      <c r="A12" s="13" t="inlineStr">
        <is>
          <t>Entorno</t>
        </is>
      </c>
      <c r="B12" s="11" t="inlineStr">
        <is>
          <t>Chromium sin interfaz (Linux), 700 × 600</t>
        </is>
      </c>
    </row>
    <row r="13" ht="16.2" customHeight="1">
      <c r="A13" s="13" t="inlineStr">
        <is>
          <t>Precondiciones</t>
        </is>
      </c>
      <c r="B13" s="11" t="inlineStr">
        <is>
          <t>Menú principal en pantalla; el puntero del mouse queda sobre «Modo GhostMan».</t>
        </is>
      </c>
    </row>
    <row r="14" ht="42.59999999999999" customHeight="1">
      <c r="A14" s="13" t="inlineStr">
        <is>
          <t>Pasos para reproducir</t>
        </is>
      </c>
      <c r="B14" s="11" t="inlineStr">
        <is>
          <t>1) Elegir «Modo GhostMan» con un clic.
2) Volver a cargar la página sin mover el mouse.
3) Presionar Enter.</t>
        </is>
      </c>
    </row>
    <row r="15" ht="29.4" customHeight="1">
      <c r="A15" s="13" t="inlineStr">
        <is>
          <t>Resultado esperado</t>
        </is>
      </c>
      <c r="B15" s="11" t="inlineStr">
        <is>
          <t>Al cargar, la opción seleccionada es «Modo PacMan» y Enter inicia una partida en modo Pacman.</t>
        </is>
      </c>
    </row>
    <row r="16" ht="29.4" customHeight="1">
      <c r="A16" s="13" t="inlineStr">
        <is>
          <t>Resultado obtenido</t>
        </is>
      </c>
      <c r="B16" s="11" t="inlineStr">
        <is>
          <t>Al cargar, la opción seleccionada pasa a «Modo GhostMan» (la que tiene el puntero encima) y Enter abre el carrusel.</t>
        </is>
      </c>
    </row>
    <row r="17" ht="16.2" customHeight="1">
      <c r="A17" s="13" t="inlineStr">
        <is>
          <t>Reproducibilidad</t>
        </is>
      </c>
      <c r="B17" s="11" t="inlineStr">
        <is>
          <t>Siempre</t>
        </is>
      </c>
    </row>
    <row r="18" ht="16.2" customHeight="1">
      <c r="A18" s="13" t="inlineStr">
        <is>
          <t>Evidencia</t>
        </is>
      </c>
      <c r="B18" s="11" t="inlineStr">
        <is>
          <t>Salida del script inc10-menu-carrusel.js (Anexo B).</t>
        </is>
      </c>
    </row>
    <row r="19" ht="16.2" customHeight="1">
      <c r="A19" s="13" t="inlineStr">
        <is>
          <t>Reportado por</t>
        </is>
      </c>
      <c r="B19" s="11" t="inlineStr">
        <is>
          <t>Luzzi</t>
        </is>
      </c>
    </row>
    <row r="20" ht="16.2" customHeight="1">
      <c r="A20" s="13" t="inlineStr">
        <is>
          <t>Confirmado por</t>
        </is>
      </c>
      <c r="B20" s="11" t="n"/>
    </row>
    <row r="21" ht="16.2" customHeight="1">
      <c r="A21" s="13" t="inlineStr">
        <is>
          <t>Fecha</t>
        </is>
      </c>
      <c r="B21" s="40" t="n">
        <v>46307</v>
      </c>
    </row>
    <row r="22" ht="55.8" customHeight="1">
      <c r="A22" s="13" t="inlineStr">
        <is>
          <t>Confirmación (Entrega 2)</t>
        </is>
      </c>
      <c r="B22" s="11" t="inlineStr">
        <is>
          <t>12/10/2026, Luzzi, commit 7ec70df: tras el clic en «Modo GhostMan» y la recarga con el puntero quieto, la seleccionada es «Modo PacMan» y Enter inicia el modo Pacman. Resultado: Aprobado. Queda en Corregido hasta que otro integrante lo confirme y lo verifique.</t>
        </is>
      </c>
    </row>
  </sheetData>
  <mergeCells count="2">
    <mergeCell ref="A2:B2"/>
    <mergeCell ref="A1:B1"/>
  </mergeCells>
  <pageMargins left="0.75" right="0.75" top="1" bottom="1" header="0.5" footer="0.5"/>
</worksheet>
</file>

<file path=xl/worksheets/sheet133.xml><?xml version="1.0" encoding="utf-8"?>
<worksheet xmlns="http://schemas.openxmlformats.org/spreadsheetml/2006/main">
  <sheetPr>
    <tabColor rgb="00C00000"/>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37" t="inlineStr">
        <is>
          <t>Reporte de defecto</t>
        </is>
      </c>
    </row>
    <row r="2">
      <c r="A2" s="2" t="inlineStr">
        <is>
          <t>Detalle del defecto (sección 13.3). La fila del «Registro de defectos» resume estos datos.</t>
        </is>
      </c>
    </row>
    <row r="4" ht="16.2" customHeight="1">
      <c r="A4" s="13" t="inlineStr">
        <is>
          <t>ID</t>
        </is>
      </c>
      <c r="B4" s="11" t="inlineStr">
        <is>
          <t>DEF-003</t>
        </is>
      </c>
    </row>
    <row r="5" ht="29.4" customHeight="1">
      <c r="A5" s="13" t="inlineStr">
        <is>
          <t>Título</t>
        </is>
      </c>
      <c r="B5" s="11" t="inlineStr">
        <is>
          <t>En modo GhostMan, el toque de un fantasma de la IA no le descuenta una vida a Pacman sin PowerUp</t>
        </is>
      </c>
    </row>
    <row r="6" ht="16.2" customHeight="1">
      <c r="A6" s="13" t="inlineStr">
        <is>
          <t>Caso de prueba</t>
        </is>
      </c>
      <c r="B6" s="11" t="inlineStr">
        <is>
          <t>Exploratoria (prueba manual de Tsai)</t>
        </is>
      </c>
    </row>
    <row r="7" ht="16.2" customHeight="1">
      <c r="A7" s="13" t="inlineStr">
        <is>
          <t>Historia de usuario</t>
        </is>
      </c>
      <c r="B7" s="11" t="inlineStr">
        <is>
          <t>HU-25 - «Solo cuentan las derrotas producidas por el fantasma del jugador»</t>
        </is>
      </c>
    </row>
    <row r="8" ht="16.2" customHeight="1">
      <c r="A8" s="13" t="inlineStr">
        <is>
          <t>Severidad</t>
        </is>
      </c>
      <c r="B8" s="11" t="inlineStr">
        <is>
          <t>Mayor</t>
        </is>
      </c>
    </row>
    <row r="9" ht="16.2" customHeight="1">
      <c r="A9" s="13" t="inlineStr">
        <is>
          <t>Prioridad</t>
        </is>
      </c>
      <c r="B9" s="11" t="inlineStr">
        <is>
          <t>Media</t>
        </is>
      </c>
    </row>
    <row r="10" ht="16.2" customHeight="1">
      <c r="A10" s="13" t="inlineStr">
        <is>
          <t>Estado</t>
        </is>
      </c>
      <c r="B10" s="11" t="inlineStr">
        <is>
          <t>Rechazado</t>
        </is>
      </c>
    </row>
    <row r="11" ht="16.2" customHeight="1">
      <c r="A11" s="13" t="inlineStr">
        <is>
          <t>Versión / commit</t>
        </is>
      </c>
      <c r="B11" s="11" t="inlineStr">
        <is>
          <t>V2 - 7ec70df</t>
        </is>
      </c>
    </row>
    <row r="12" ht="16.2" customHeight="1">
      <c r="A12" s="13" t="inlineStr">
        <is>
          <t>Entorno</t>
        </is>
      </c>
      <c r="B12" s="11" t="inlineStr">
        <is>
          <t>Completar (navegador y resolución con los que probó Tsai)</t>
        </is>
      </c>
    </row>
    <row r="13" ht="16.2" customHeight="1">
      <c r="A13" s="13" t="inlineStr">
        <is>
          <t>Precondiciones</t>
        </is>
      </c>
      <c r="B13" s="11" t="inlineStr">
        <is>
          <t>Partida en modo GhostMan, Pacman sin PowerUp.</t>
        </is>
      </c>
    </row>
    <row r="14" ht="42.59999999999999" customHeight="1">
      <c r="A14" s="13" t="inlineStr">
        <is>
          <t>Pasos para reproducir</t>
        </is>
      </c>
      <c r="B14" s="11" t="inlineStr">
        <is>
          <t>1) Iniciar una partida en modo GhostMan con cualquier fantasma.
2) Esperar a que un fantasma de la IA alcance a Pacman sin PowerUp activo.
3) Observar el contador de vidas de Pacman.</t>
        </is>
      </c>
    </row>
    <row r="15" ht="42.59999999999999" customHeight="1">
      <c r="A15" s="13" t="inlineStr">
        <is>
          <t>Resultado esperado</t>
        </is>
      </c>
      <c r="B15" s="11" t="inlineStr">
        <is>
          <t>Según el reporte: Pacman pierde una vida. Según la especificación (HU-25 y decisión 19): Pacman vuelve a su posición inicial sin perder una vida; solo el fantasma del jugador descuenta vidas.</t>
        </is>
      </c>
    </row>
    <row r="16" ht="16.2" customHeight="1">
      <c r="A16" s="13" t="inlineStr">
        <is>
          <t>Resultado obtenido</t>
        </is>
      </c>
      <c r="B16" s="11" t="inlineStr">
        <is>
          <t>Pacman vuelve a su posición inicial y el contador de vidas no cambia.</t>
        </is>
      </c>
    </row>
    <row r="17" ht="16.2" customHeight="1">
      <c r="A17" s="13" t="inlineStr">
        <is>
          <t>Reproducibilidad</t>
        </is>
      </c>
      <c r="B17" s="11" t="inlineStr">
        <is>
          <t>Siempre</t>
        </is>
      </c>
    </row>
    <row r="18" ht="29.4" customHeight="1">
      <c r="A18" s="13" t="inlineStr">
        <is>
          <t>Evidencia</t>
        </is>
      </c>
      <c r="B18" s="11" t="inlineStr">
        <is>
          <t>CP-144 (ciclo 2): «tras el toque del fantasma de la IA volvió a su posición inicial (7,8) sin perder vidas (3 → 3)».</t>
        </is>
      </c>
    </row>
    <row r="19" ht="16.2" customHeight="1">
      <c r="A19" s="13" t="inlineStr">
        <is>
          <t>Reportado por</t>
        </is>
      </c>
      <c r="B19" s="11" t="inlineStr">
        <is>
          <t>Tsai</t>
        </is>
      </c>
    </row>
    <row r="20" ht="16.2" customHeight="1">
      <c r="A20" s="13" t="inlineStr">
        <is>
          <t>Confirmado por</t>
        </is>
      </c>
      <c r="B20" s="11" t="inlineStr">
        <is>
          <t>Luzzi</t>
        </is>
      </c>
    </row>
    <row r="21" ht="16.2" customHeight="1">
      <c r="A21" s="13" t="inlineStr">
        <is>
          <t>Fecha</t>
        </is>
      </c>
      <c r="B21" s="40" t="n">
        <v>46307</v>
      </c>
    </row>
    <row r="22" ht="29.4" customHeight="1">
      <c r="A22" s="13" t="inlineStr">
        <is>
          <t>Confirmación (Entrega 2)</t>
        </is>
      </c>
      <c r="B22" s="11" t="inlineStr">
        <is>
          <t>No aplica: rechazado en el triaje por funcionar según la especificación (HU-25, decisión 19). Sin cambios de código.</t>
        </is>
      </c>
    </row>
  </sheetData>
  <mergeCells count="2">
    <mergeCell ref="A2:B2"/>
    <mergeCell ref="A1:B1"/>
  </mergeCells>
  <pageMargins left="0.75" right="0.75" top="1" bottom="1" header="0.5" footer="0.5"/>
</worksheet>
</file>

<file path=xl/worksheets/sheet134.xml><?xml version="1.0" encoding="utf-8"?>
<worksheet xmlns="http://schemas.openxmlformats.org/spreadsheetml/2006/main">
  <sheetPr>
    <tabColor rgb="00FFC000"/>
    <outlinePr summaryBelow="1" summaryRight="1"/>
    <pageSetUpPr fitToPage="1"/>
  </sheetPr>
  <dimension ref="A1:L22"/>
  <sheetViews>
    <sheetView workbookViewId="0">
      <selection activeCell="A1" sqref="A1"/>
    </sheetView>
  </sheetViews>
  <sheetFormatPr baseColWidth="8" defaultRowHeight="15"/>
  <cols>
    <col width="17" customWidth="1" min="1" max="1"/>
    <col width="30" customWidth="1" min="2" max="2"/>
    <col width="26" customWidth="1" min="3" max="3"/>
    <col width="24" customWidth="1" min="4" max="4"/>
    <col width="34" customWidth="1" min="5" max="5"/>
    <col width="2.5" customWidth="1" min="6" max="6"/>
    <col width="12" customWidth="1" min="7" max="7"/>
    <col width="12" customWidth="1" min="8" max="8"/>
    <col width="14" customWidth="1" min="9" max="9"/>
    <col width="12" customWidth="1" min="10" max="10"/>
    <col width="50" customWidth="1" min="11" max="11"/>
    <col width="10" customWidth="1" min="12" max="12"/>
  </cols>
  <sheetData>
    <row r="1">
      <c r="A1" s="13" t="inlineStr">
        <is>
          <t>Test Case ID</t>
        </is>
      </c>
      <c r="B1" s="18" t="n"/>
      <c r="C1" s="13" t="inlineStr">
        <is>
          <t>Descripción / Funcionalidad</t>
        </is>
      </c>
      <c r="D1" s="18" t="n"/>
      <c r="E1" s="24" t="n"/>
      <c r="G1" s="30" t="inlineStr">
        <is>
          <t>Registro de ejecución</t>
        </is>
      </c>
      <c r="H1" s="23" t="n"/>
      <c r="I1" s="23" t="n"/>
      <c r="J1" s="23" t="n"/>
      <c r="K1" s="23" t="n"/>
      <c r="L1" s="24" t="n"/>
    </row>
    <row r="2">
      <c r="A2" s="13" t="inlineStr">
        <is>
          <t>Creado por</t>
        </is>
      </c>
      <c r="B2" s="18" t="n"/>
      <c r="C2" s="13" t="inlineStr">
        <is>
          <t>Versión</t>
        </is>
      </c>
      <c r="D2" s="18" t="n"/>
      <c r="E2" s="24" t="n"/>
      <c r="G2" s="16" t="inlineStr">
        <is>
          <t>Ciclo</t>
        </is>
      </c>
      <c r="H2" s="16" t="inlineStr">
        <is>
          <t>Fecha</t>
        </is>
      </c>
      <c r="I2" s="16" t="inlineStr">
        <is>
          <t>Ejecutor</t>
        </is>
      </c>
      <c r="J2" s="16" t="inlineStr">
        <is>
          <t>Estado</t>
        </is>
      </c>
      <c r="K2" s="16" t="inlineStr">
        <is>
          <t>Resultado obtenido</t>
        </is>
      </c>
      <c r="L2" s="16" t="inlineStr">
        <is>
          <t>Defecto</t>
        </is>
      </c>
    </row>
    <row r="3" ht="30" customHeight="1">
      <c r="A3" s="31" t="inlineStr">
        <is>
          <t>Reporte de ejecución 2</t>
        </is>
      </c>
      <c r="B3" s="24" t="n"/>
      <c r="C3" s="13" t="inlineStr">
        <is>
          <t>Estado en la Entrega 2</t>
        </is>
      </c>
      <c r="D3" s="18" t="n"/>
      <c r="E3" s="24" t="n"/>
      <c r="G3" s="9" t="n"/>
      <c r="H3" s="40" t="n"/>
      <c r="I3" s="11" t="n"/>
      <c r="J3" s="11" t="n"/>
      <c r="K3" s="11" t="n"/>
      <c r="L3" s="11" t="n"/>
    </row>
    <row r="4" ht="30" customHeight="1">
      <c r="C4" s="13" t="inlineStr">
        <is>
          <t>Estado en la Entrega 1</t>
        </is>
      </c>
      <c r="D4" s="7" t="n"/>
      <c r="E4" s="24" t="n"/>
      <c r="G4" s="9" t="n"/>
      <c r="H4" s="40" t="n"/>
      <c r="I4" s="11" t="n"/>
      <c r="J4" s="11" t="n"/>
      <c r="K4" s="11" t="n"/>
      <c r="L4" s="11" t="n"/>
    </row>
    <row r="5" ht="30" customHeight="1">
      <c r="A5" s="13" t="inlineStr">
        <is>
          <t>Prioridad (Alta, Media, Baja)</t>
        </is>
      </c>
      <c r="B5" s="18" t="n"/>
      <c r="C5" s="13" t="inlineStr">
        <is>
          <t>Técnica de diseño</t>
        </is>
      </c>
      <c r="D5" s="7" t="n"/>
      <c r="E5" s="24" t="n"/>
      <c r="G5" s="9" t="n"/>
      <c r="H5" s="40" t="n"/>
      <c r="I5" s="11" t="n"/>
      <c r="J5" s="11" t="n"/>
      <c r="K5" s="11" t="n"/>
      <c r="L5" s="11" t="n"/>
    </row>
    <row r="6">
      <c r="G6" s="21" t="inlineStr">
        <is>
          <t>Ciclo 1 = Entrega 1 (V1). Ciclo 2 = Entrega 2 (V2): ejecución con script de navegador; las precondiciones preparadas por script se aclaran en el resultado obtenido.</t>
        </is>
      </c>
    </row>
    <row r="7">
      <c r="A7" s="13" t="inlineStr">
        <is>
          <t>#</t>
        </is>
      </c>
      <c r="B7" s="13" t="inlineStr">
        <is>
          <t>Pre-requisitos</t>
        </is>
      </c>
      <c r="C7" s="24" t="n"/>
      <c r="D7" s="13" t="inlineStr">
        <is>
          <t>Datos de prueba</t>
        </is>
      </c>
      <c r="E7" s="24" t="n"/>
    </row>
    <row r="8" ht="16.2" customHeight="1">
      <c r="A8" s="8" t="n">
        <v>1</v>
      </c>
      <c r="B8" s="7" t="inlineStr"/>
      <c r="C8" s="24" t="n"/>
      <c r="D8" s="18" t="inlineStr"/>
      <c r="E8" s="7" t="inlineStr"/>
    </row>
    <row r="9" ht="16.2" customHeight="1">
      <c r="A9" s="8" t="n">
        <v>2</v>
      </c>
      <c r="B9" s="7" t="inlineStr"/>
      <c r="C9" s="24" t="n"/>
      <c r="D9" s="18" t="inlineStr"/>
      <c r="E9" s="7" t="inlineStr"/>
    </row>
    <row r="10" ht="16.2" customHeight="1">
      <c r="A10" s="8" t="n">
        <v>3</v>
      </c>
      <c r="B10" s="7" t="inlineStr"/>
      <c r="C10" s="24" t="n"/>
      <c r="D10" s="18" t="inlineStr"/>
      <c r="E10" s="7" t="inlineStr"/>
    </row>
    <row r="12">
      <c r="A12" s="13" t="inlineStr">
        <is>
          <t>Título del CP</t>
        </is>
      </c>
      <c r="B12" s="34" t="n"/>
      <c r="C12" s="43" t="n"/>
      <c r="D12" s="43" t="n"/>
      <c r="E12" s="44" t="n"/>
    </row>
    <row r="13">
      <c r="A13" s="45" t="n"/>
      <c r="B13" s="46" t="n"/>
      <c r="C13" s="47" t="n"/>
      <c r="D13" s="47" t="n"/>
      <c r="E13" s="48" t="n"/>
    </row>
    <row r="15">
      <c r="A15" s="13" t="inlineStr">
        <is>
          <t>Historias de Usuario</t>
        </is>
      </c>
      <c r="B15" s="7" t="n"/>
      <c r="C15" s="13" t="inlineStr">
        <is>
          <t>Épica</t>
        </is>
      </c>
      <c r="D15" s="7" t="n"/>
      <c r="E15" s="24" t="n"/>
    </row>
    <row r="16" ht="28" customHeight="1">
      <c r="A16" s="13" t="inlineStr">
        <is>
          <t>Estado Automatización</t>
        </is>
      </c>
      <c r="B16" s="7" t="n"/>
      <c r="C16" s="13" t="inlineStr">
        <is>
          <t>Camino feliz</t>
        </is>
      </c>
      <c r="D16" s="7" t="n"/>
      <c r="E16" s="24" t="n"/>
    </row>
    <row r="18">
      <c r="A18" s="13" t="inlineStr">
        <is>
          <t>Pasos #</t>
        </is>
      </c>
      <c r="B18" s="13" t="inlineStr">
        <is>
          <t>Detalle de pasos</t>
        </is>
      </c>
      <c r="C18" s="24" t="n"/>
      <c r="D18" s="13" t="inlineStr">
        <is>
          <t>Resultado esperado</t>
        </is>
      </c>
      <c r="E18" s="24" t="n"/>
    </row>
    <row r="19" ht="16.2" customHeight="1">
      <c r="A19" s="8" t="n">
        <v>1</v>
      </c>
      <c r="B19" s="7" t="inlineStr"/>
      <c r="C19" s="24" t="n"/>
      <c r="D19" s="7" t="inlineStr"/>
      <c r="E19" s="24" t="n"/>
    </row>
    <row r="20" ht="16.2" customHeight="1">
      <c r="A20" s="8" t="n">
        <v>2</v>
      </c>
      <c r="B20" s="7" t="inlineStr"/>
      <c r="C20" s="24" t="n"/>
      <c r="D20" s="7" t="inlineStr"/>
      <c r="E20" s="24" t="n"/>
    </row>
    <row r="21" ht="16.2" customHeight="1">
      <c r="A21" s="8" t="n">
        <v>3</v>
      </c>
      <c r="B21" s="7" t="inlineStr"/>
      <c r="C21" s="24" t="n"/>
      <c r="D21" s="7" t="inlineStr"/>
      <c r="E21" s="24" t="n"/>
    </row>
    <row r="22" ht="24" customHeight="1">
      <c r="A22" s="21" t="inlineStr">
        <is>
          <t>El caso se aprueba solo si se cumple todo el resultado esperado del último paso (en negrita); si cualquier parte no se cumple, se registra como Fallido.</t>
        </is>
      </c>
    </row>
  </sheetData>
  <mergeCells count="26">
    <mergeCell ref="D20:E20"/>
    <mergeCell ref="B7:C7"/>
    <mergeCell ref="D1:E1"/>
    <mergeCell ref="D19:E19"/>
    <mergeCell ref="B12:E13"/>
    <mergeCell ref="B18:C18"/>
    <mergeCell ref="D21:E21"/>
    <mergeCell ref="B21:C21"/>
    <mergeCell ref="D2:E2"/>
    <mergeCell ref="A12:A13"/>
    <mergeCell ref="B8:C8"/>
    <mergeCell ref="A3:B3"/>
    <mergeCell ref="G1:L1"/>
    <mergeCell ref="D16:E16"/>
    <mergeCell ref="D7:E7"/>
    <mergeCell ref="B19:C19"/>
    <mergeCell ref="B10:C10"/>
    <mergeCell ref="D4:E4"/>
    <mergeCell ref="D18:E18"/>
    <mergeCell ref="B9:C9"/>
    <mergeCell ref="D3:E3"/>
    <mergeCell ref="A22:E22"/>
    <mergeCell ref="G6:L7"/>
    <mergeCell ref="D15:E15"/>
    <mergeCell ref="B20:C20"/>
    <mergeCell ref="D5:E5"/>
  </mergeCells>
  <dataValidations count="1">
    <dataValidation sqref="J3:J5" showDropDown="0" showInputMessage="0" showErrorMessage="0" allowBlank="1" type="list">
      <formula1>"Aprobado,Fallido,Bloqueado,No ejecutado,No aplica"</formula1>
    </dataValidation>
  </dataValidations>
  <pageMargins left="0.75" right="0.75" top="1" bottom="1" header="0.5" footer="0.5"/>
  <pageSetup orientation="landscape" fitToHeight="0" fitToWidth="1"/>
</worksheet>
</file>

<file path=xl/worksheets/sheet135.xml><?xml version="1.0" encoding="utf-8"?>
<worksheet xmlns="http://schemas.openxmlformats.org/spreadsheetml/2006/main">
  <sheetPr>
    <tabColor rgb="00C00000"/>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37" t="inlineStr">
        <is>
          <t>Reporte de defecto</t>
        </is>
      </c>
    </row>
    <row r="2">
      <c r="A2" s="2" t="inlineStr">
        <is>
          <t>Copiar esta hoja por cada defecto, nombrarla con su ID y registrarlo también en «Registro de defectos». Reemplazar los textos grises.</t>
        </is>
      </c>
    </row>
    <row r="4" ht="16.2" customHeight="1">
      <c r="A4" s="13" t="inlineStr">
        <is>
          <t>ID</t>
        </is>
      </c>
      <c r="B4" s="38" t="inlineStr">
        <is>
          <t>DEF-nnn</t>
        </is>
      </c>
    </row>
    <row r="5" ht="16.2" customHeight="1">
      <c r="A5" s="13" t="inlineStr">
        <is>
          <t>Título</t>
        </is>
      </c>
      <c r="B5" s="38" t="inlineStr">
        <is>
          <t>Síntoma en una línea, específico y sin diagnóstico.</t>
        </is>
      </c>
    </row>
    <row r="6" ht="16.2" customHeight="1">
      <c r="A6" s="13" t="inlineStr">
        <is>
          <t>Caso de prueba</t>
        </is>
      </c>
      <c r="B6" s="38" t="inlineStr">
        <is>
          <t>CP que lo detectó o «Exploratoria».</t>
        </is>
      </c>
    </row>
    <row r="7" ht="16.2" customHeight="1">
      <c r="A7" s="13" t="inlineStr">
        <is>
          <t>Historia de usuario</t>
        </is>
      </c>
      <c r="B7" s="38" t="inlineStr">
        <is>
          <t>HU afectada y criterio de aceptación.</t>
        </is>
      </c>
    </row>
    <row r="8" ht="16.2" customHeight="1">
      <c r="A8" s="13" t="inlineStr">
        <is>
          <t>Severidad</t>
        </is>
      </c>
      <c r="B8" s="38" t="inlineStr">
        <is>
          <t>Bloqueante / Crítica / Mayor / Menor / Trivial (13.1).</t>
        </is>
      </c>
    </row>
    <row r="9" ht="16.2" customHeight="1">
      <c r="A9" s="13" t="inlineStr">
        <is>
          <t>Prioridad</t>
        </is>
      </c>
      <c r="B9" s="38" t="inlineStr">
        <is>
          <t>Alta / Media / Baja (13.1).</t>
        </is>
      </c>
    </row>
    <row r="10" ht="16.2" customHeight="1">
      <c r="A10" s="13" t="inlineStr">
        <is>
          <t>Estado</t>
        </is>
      </c>
      <c r="B10" s="38" t="inlineStr">
        <is>
          <t>Nuevo / Confirmado / No reproducible / En corrección / Corregido / Verificado / Diferido / Rechazado (13.2).</t>
        </is>
      </c>
    </row>
    <row r="11" ht="16.2" customHeight="1">
      <c r="A11" s="13" t="inlineStr">
        <is>
          <t>Versión / commit</t>
        </is>
      </c>
      <c r="B11" s="38" t="inlineStr">
        <is>
          <t>V2 - hash del commit.</t>
        </is>
      </c>
    </row>
    <row r="12" ht="16.2" customHeight="1">
      <c r="A12" s="13" t="inlineStr">
        <is>
          <t>Entorno</t>
        </is>
      </c>
      <c r="B12" s="38" t="inlineStr">
        <is>
          <t>Navegador y versión, resolución, URL de despliegue.</t>
        </is>
      </c>
    </row>
    <row r="13" ht="16.2" customHeight="1">
      <c r="A13" s="13" t="inlineStr">
        <is>
          <t>Precondiciones</t>
        </is>
      </c>
      <c r="B13" s="38" t="inlineStr">
        <is>
          <t>Estado necesario para reproducirlo.</t>
        </is>
      </c>
    </row>
    <row r="14" ht="16.2" customHeight="1">
      <c r="A14" s="13" t="inlineStr">
        <is>
          <t>Pasos para reproducir</t>
        </is>
      </c>
      <c r="B14" s="38" t="inlineStr">
        <is>
          <t>1) …
2) …
3) …</t>
        </is>
      </c>
    </row>
    <row r="15" ht="16.2" customHeight="1">
      <c r="A15" s="13" t="inlineStr">
        <is>
          <t>Resultado esperado</t>
        </is>
      </c>
      <c r="B15" s="38" t="inlineStr">
        <is>
          <t>Comportamiento especificado, con referencia al criterio de aceptación.</t>
        </is>
      </c>
    </row>
    <row r="16" ht="16.2" customHeight="1">
      <c r="A16" s="13" t="inlineStr">
        <is>
          <t>Resultado obtenido</t>
        </is>
      </c>
      <c r="B16" s="38" t="inlineStr">
        <is>
          <t>Comportamiento efectivamente observado.</t>
        </is>
      </c>
    </row>
    <row r="17" ht="16.2" customHeight="1">
      <c r="A17" s="13" t="inlineStr">
        <is>
          <t>Reproducibilidad</t>
        </is>
      </c>
      <c r="B17" s="38" t="inlineStr">
        <is>
          <t>Siempre / Intermitente (indicar frecuencia).</t>
        </is>
      </c>
    </row>
    <row r="18" ht="16.2" customHeight="1">
      <c r="A18" s="13" t="inlineStr">
        <is>
          <t>Evidencia</t>
        </is>
      </c>
      <c r="B18" s="38" t="inlineStr">
        <is>
          <t>Captura o grabación (Anexo B).</t>
        </is>
      </c>
    </row>
    <row r="19" ht="16.2" customHeight="1">
      <c r="A19" s="13" t="inlineStr">
        <is>
          <t>Reportado por</t>
        </is>
      </c>
      <c r="B19" s="38" t="inlineStr">
        <is>
          <t>Integrante que lo detectó.</t>
        </is>
      </c>
    </row>
    <row r="20" ht="16.2" customHeight="1">
      <c r="A20" s="13" t="inlineStr">
        <is>
          <t>Confirmado por</t>
        </is>
      </c>
      <c r="B20" s="38" t="inlineStr">
        <is>
          <t>Integrante distinto del que lo reportó.</t>
        </is>
      </c>
    </row>
    <row r="21" ht="16.2" customHeight="1">
      <c r="A21" s="13" t="inlineStr">
        <is>
          <t>Fecha</t>
        </is>
      </c>
      <c r="B21" s="38" t="inlineStr">
        <is>
          <t>dd/mm/aaaa</t>
        </is>
      </c>
    </row>
    <row r="22" ht="16.2" customHeight="1">
      <c r="A22" s="13" t="inlineStr">
        <is>
          <t>Confirmación (Entrega 2)</t>
        </is>
      </c>
      <c r="B22" s="38" t="inlineStr">
        <is>
          <t>Fecha, ejecutor, commit y resultado de la prueba de confirmación.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2026-10-13T01:16:47Z</dcterms:created>
  <dcterms:modified xmlns:dcterms="http://purl.org/dc/terms/" xmlns:xsi="http://www.w3.org/2001/XMLSchema-instance" xsi:type="dcterms:W3CDTF">2026-10-28T16:09:20Z</dcterms:modified>
</cp:coreProperties>
</file>