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e de ejecución - Entrega2" sheetId="1" state="visible" r:id="rId1"/>
    <sheet xmlns:r="http://schemas.openxmlformats.org/officeDocument/2006/relationships" name="Registro de defectos" sheetId="2" state="visible" r:id="rId2"/>
    <sheet xmlns:r="http://schemas.openxmlformats.org/officeDocument/2006/relationships" name="CP-001" sheetId="3" state="visible" r:id="rId3"/>
    <sheet xmlns:r="http://schemas.openxmlformats.org/officeDocument/2006/relationships" name="CP-002" sheetId="4" state="visible" r:id="rId4"/>
    <sheet xmlns:r="http://schemas.openxmlformats.org/officeDocument/2006/relationships" name="CP-003" sheetId="5" state="visible" r:id="rId5"/>
    <sheet xmlns:r="http://schemas.openxmlformats.org/officeDocument/2006/relationships" name="CP-005" sheetId="6" state="visible" r:id="rId6"/>
    <sheet xmlns:r="http://schemas.openxmlformats.org/officeDocument/2006/relationships" name="CP-007" sheetId="7" state="visible" r:id="rId7"/>
    <sheet xmlns:r="http://schemas.openxmlformats.org/officeDocument/2006/relationships" name="CP-008" sheetId="8" state="visible" r:id="rId8"/>
    <sheet xmlns:r="http://schemas.openxmlformats.org/officeDocument/2006/relationships" name="CP-009" sheetId="9" state="visible" r:id="rId9"/>
    <sheet xmlns:r="http://schemas.openxmlformats.org/officeDocument/2006/relationships" name="CP-011" sheetId="10" state="visible" r:id="rId10"/>
    <sheet xmlns:r="http://schemas.openxmlformats.org/officeDocument/2006/relationships" name="CP-012" sheetId="11" state="visible" r:id="rId11"/>
    <sheet xmlns:r="http://schemas.openxmlformats.org/officeDocument/2006/relationships" name="CP-014" sheetId="12" state="visible" r:id="rId12"/>
    <sheet xmlns:r="http://schemas.openxmlformats.org/officeDocument/2006/relationships" name="CP-015" sheetId="13" state="visible" r:id="rId13"/>
    <sheet xmlns:r="http://schemas.openxmlformats.org/officeDocument/2006/relationships" name="CP-016" sheetId="14" state="visible" r:id="rId14"/>
    <sheet xmlns:r="http://schemas.openxmlformats.org/officeDocument/2006/relationships" name="CP-017" sheetId="15" state="visible" r:id="rId15"/>
    <sheet xmlns:r="http://schemas.openxmlformats.org/officeDocument/2006/relationships" name="CP-018" sheetId="16" state="visible" r:id="rId16"/>
    <sheet xmlns:r="http://schemas.openxmlformats.org/officeDocument/2006/relationships" name="CP-019" sheetId="17" state="visible" r:id="rId17"/>
    <sheet xmlns:r="http://schemas.openxmlformats.org/officeDocument/2006/relationships" name="CP-020" sheetId="18" state="visible" r:id="rId18"/>
    <sheet xmlns:r="http://schemas.openxmlformats.org/officeDocument/2006/relationships" name="CP-023" sheetId="19" state="visible" r:id="rId19"/>
    <sheet xmlns:r="http://schemas.openxmlformats.org/officeDocument/2006/relationships" name="CP-024" sheetId="20" state="visible" r:id="rId20"/>
    <sheet xmlns:r="http://schemas.openxmlformats.org/officeDocument/2006/relationships" name="CP-025" sheetId="21" state="visible" r:id="rId21"/>
    <sheet xmlns:r="http://schemas.openxmlformats.org/officeDocument/2006/relationships" name="CP-030" sheetId="22" state="visible" r:id="rId22"/>
    <sheet xmlns:r="http://schemas.openxmlformats.org/officeDocument/2006/relationships" name="CP-031" sheetId="23" state="visible" r:id="rId23"/>
    <sheet xmlns:r="http://schemas.openxmlformats.org/officeDocument/2006/relationships" name="CP-032" sheetId="24" state="visible" r:id="rId24"/>
    <sheet xmlns:r="http://schemas.openxmlformats.org/officeDocument/2006/relationships" name="CP-033" sheetId="25" state="visible" r:id="rId25"/>
    <sheet xmlns:r="http://schemas.openxmlformats.org/officeDocument/2006/relationships" name="CP-034" sheetId="26" state="visible" r:id="rId26"/>
    <sheet xmlns:r="http://schemas.openxmlformats.org/officeDocument/2006/relationships" name="CP-036" sheetId="27" state="visible" r:id="rId27"/>
    <sheet xmlns:r="http://schemas.openxmlformats.org/officeDocument/2006/relationships" name="CP-047" sheetId="28" state="visible" r:id="rId28"/>
    <sheet xmlns:r="http://schemas.openxmlformats.org/officeDocument/2006/relationships" name="CP-049" sheetId="29" state="visible" r:id="rId29"/>
    <sheet xmlns:r="http://schemas.openxmlformats.org/officeDocument/2006/relationships" name="CP-050" sheetId="30" state="visible" r:id="rId30"/>
    <sheet xmlns:r="http://schemas.openxmlformats.org/officeDocument/2006/relationships" name="CP-051" sheetId="31" state="visible" r:id="rId31"/>
    <sheet xmlns:r="http://schemas.openxmlformats.org/officeDocument/2006/relationships" name="CP-052" sheetId="32" state="visible" r:id="rId32"/>
    <sheet xmlns:r="http://schemas.openxmlformats.org/officeDocument/2006/relationships" name="CP-053" sheetId="33" state="visible" r:id="rId33"/>
    <sheet xmlns:r="http://schemas.openxmlformats.org/officeDocument/2006/relationships" name="CP-055" sheetId="34" state="visible" r:id="rId34"/>
    <sheet xmlns:r="http://schemas.openxmlformats.org/officeDocument/2006/relationships" name="CP-057" sheetId="35" state="visible" r:id="rId35"/>
    <sheet xmlns:r="http://schemas.openxmlformats.org/officeDocument/2006/relationships" name="CP-059" sheetId="36" state="visible" r:id="rId36"/>
    <sheet xmlns:r="http://schemas.openxmlformats.org/officeDocument/2006/relationships" name="CP-060" sheetId="37" state="visible" r:id="rId37"/>
    <sheet xmlns:r="http://schemas.openxmlformats.org/officeDocument/2006/relationships" name="CP-061" sheetId="38" state="visible" r:id="rId38"/>
    <sheet xmlns:r="http://schemas.openxmlformats.org/officeDocument/2006/relationships" name="CP-062" sheetId="39" state="visible" r:id="rId39"/>
    <sheet xmlns:r="http://schemas.openxmlformats.org/officeDocument/2006/relationships" name="CP-067" sheetId="40" state="visible" r:id="rId40"/>
    <sheet xmlns:r="http://schemas.openxmlformats.org/officeDocument/2006/relationships" name="CP-068" sheetId="41" state="visible" r:id="rId41"/>
    <sheet xmlns:r="http://schemas.openxmlformats.org/officeDocument/2006/relationships" name="CP-069" sheetId="42" state="visible" r:id="rId42"/>
    <sheet xmlns:r="http://schemas.openxmlformats.org/officeDocument/2006/relationships" name="CP-070" sheetId="43" state="visible" r:id="rId43"/>
    <sheet xmlns:r="http://schemas.openxmlformats.org/officeDocument/2006/relationships" name="CP-071" sheetId="44" state="visible" r:id="rId44"/>
    <sheet xmlns:r="http://schemas.openxmlformats.org/officeDocument/2006/relationships" name="CP-072" sheetId="45" state="visible" r:id="rId45"/>
    <sheet xmlns:r="http://schemas.openxmlformats.org/officeDocument/2006/relationships" name="CP-073" sheetId="46" state="visible" r:id="rId46"/>
    <sheet xmlns:r="http://schemas.openxmlformats.org/officeDocument/2006/relationships" name="CP-074" sheetId="47" state="visible" r:id="rId47"/>
    <sheet xmlns:r="http://schemas.openxmlformats.org/officeDocument/2006/relationships" name="CP-075" sheetId="48" state="visible" r:id="rId48"/>
    <sheet xmlns:r="http://schemas.openxmlformats.org/officeDocument/2006/relationships" name="CP-076" sheetId="49" state="visible" r:id="rId49"/>
    <sheet xmlns:r="http://schemas.openxmlformats.org/officeDocument/2006/relationships" name="CP-077" sheetId="50" state="visible" r:id="rId50"/>
    <sheet xmlns:r="http://schemas.openxmlformats.org/officeDocument/2006/relationships" name="CP-078" sheetId="51" state="visible" r:id="rId51"/>
    <sheet xmlns:r="http://schemas.openxmlformats.org/officeDocument/2006/relationships" name="CP-079" sheetId="52" state="visible" r:id="rId52"/>
    <sheet xmlns:r="http://schemas.openxmlformats.org/officeDocument/2006/relationships" name="CP-080" sheetId="53" state="visible" r:id="rId53"/>
    <sheet xmlns:r="http://schemas.openxmlformats.org/officeDocument/2006/relationships" name="CP-081" sheetId="54" state="visible" r:id="rId54"/>
    <sheet xmlns:r="http://schemas.openxmlformats.org/officeDocument/2006/relationships" name="CP-082" sheetId="55" state="visible" r:id="rId55"/>
    <sheet xmlns:r="http://schemas.openxmlformats.org/officeDocument/2006/relationships" name="CP-083" sheetId="56" state="visible" r:id="rId56"/>
    <sheet xmlns:r="http://schemas.openxmlformats.org/officeDocument/2006/relationships" name="CP-084" sheetId="57" state="visible" r:id="rId57"/>
    <sheet xmlns:r="http://schemas.openxmlformats.org/officeDocument/2006/relationships" name="CP-085" sheetId="58" state="visible" r:id="rId58"/>
    <sheet xmlns:r="http://schemas.openxmlformats.org/officeDocument/2006/relationships" name="CP-086" sheetId="59" state="visible" r:id="rId59"/>
    <sheet xmlns:r="http://schemas.openxmlformats.org/officeDocument/2006/relationships" name="CP-087" sheetId="60" state="visible" r:id="rId60"/>
    <sheet xmlns:r="http://schemas.openxmlformats.org/officeDocument/2006/relationships" name="CP-088" sheetId="61" state="visible" r:id="rId61"/>
    <sheet xmlns:r="http://schemas.openxmlformats.org/officeDocument/2006/relationships" name="CP-089" sheetId="62" state="visible" r:id="rId62"/>
    <sheet xmlns:r="http://schemas.openxmlformats.org/officeDocument/2006/relationships" name="CP-090" sheetId="63" state="visible" r:id="rId63"/>
    <sheet xmlns:r="http://schemas.openxmlformats.org/officeDocument/2006/relationships" name="CP-091" sheetId="64" state="visible" r:id="rId64"/>
    <sheet xmlns:r="http://schemas.openxmlformats.org/officeDocument/2006/relationships" name="CP-092" sheetId="65" state="visible" r:id="rId65"/>
    <sheet xmlns:r="http://schemas.openxmlformats.org/officeDocument/2006/relationships" name="CP-093" sheetId="66" state="visible" r:id="rId66"/>
    <sheet xmlns:r="http://schemas.openxmlformats.org/officeDocument/2006/relationships" name="CP-094" sheetId="67" state="visible" r:id="rId67"/>
    <sheet xmlns:r="http://schemas.openxmlformats.org/officeDocument/2006/relationships" name="CP-095" sheetId="68" state="visible" r:id="rId68"/>
    <sheet xmlns:r="http://schemas.openxmlformats.org/officeDocument/2006/relationships" name="CP-096" sheetId="69" state="visible" r:id="rId69"/>
    <sheet xmlns:r="http://schemas.openxmlformats.org/officeDocument/2006/relationships" name="CP-097" sheetId="70" state="visible" r:id="rId70"/>
    <sheet xmlns:r="http://schemas.openxmlformats.org/officeDocument/2006/relationships" name="CP-098" sheetId="71" state="visible" r:id="rId71"/>
    <sheet xmlns:r="http://schemas.openxmlformats.org/officeDocument/2006/relationships" name="CP-099" sheetId="72" state="visible" r:id="rId72"/>
    <sheet xmlns:r="http://schemas.openxmlformats.org/officeDocument/2006/relationships" name="CP-100" sheetId="73" state="visible" r:id="rId73"/>
    <sheet xmlns:r="http://schemas.openxmlformats.org/officeDocument/2006/relationships" name="CP-101" sheetId="74" state="visible" r:id="rId74"/>
    <sheet xmlns:r="http://schemas.openxmlformats.org/officeDocument/2006/relationships" name="CP-102" sheetId="75" state="visible" r:id="rId75"/>
    <sheet xmlns:r="http://schemas.openxmlformats.org/officeDocument/2006/relationships" name="CP-103" sheetId="76" state="visible" r:id="rId76"/>
    <sheet xmlns:r="http://schemas.openxmlformats.org/officeDocument/2006/relationships" name="CP-104" sheetId="77" state="visible" r:id="rId77"/>
    <sheet xmlns:r="http://schemas.openxmlformats.org/officeDocument/2006/relationships" name="CP-105" sheetId="78" state="visible" r:id="rId78"/>
    <sheet xmlns:r="http://schemas.openxmlformats.org/officeDocument/2006/relationships" name="CP-141" sheetId="79" state="visible" r:id="rId79"/>
    <sheet xmlns:r="http://schemas.openxmlformats.org/officeDocument/2006/relationships" name="CP-142" sheetId="80" state="visible" r:id="rId80"/>
    <sheet xmlns:r="http://schemas.openxmlformats.org/officeDocument/2006/relationships" name="CP-143" sheetId="81" state="visible" r:id="rId81"/>
    <sheet xmlns:r="http://schemas.openxmlformats.org/officeDocument/2006/relationships" name="CP-144" sheetId="82" state="visible" r:id="rId82"/>
    <sheet xmlns:r="http://schemas.openxmlformats.org/officeDocument/2006/relationships" name="CP-145" sheetId="83" state="visible" r:id="rId83"/>
    <sheet xmlns:r="http://schemas.openxmlformats.org/officeDocument/2006/relationships" name="CP-146" sheetId="84" state="visible" r:id="rId84"/>
    <sheet xmlns:r="http://schemas.openxmlformats.org/officeDocument/2006/relationships" name="CP-147" sheetId="85" state="visible" r:id="rId85"/>
    <sheet xmlns:r="http://schemas.openxmlformats.org/officeDocument/2006/relationships" name="CP-148" sheetId="86" state="visible" r:id="rId86"/>
    <sheet xmlns:r="http://schemas.openxmlformats.org/officeDocument/2006/relationships" name="CP-149" sheetId="87" state="visible" r:id="rId87"/>
    <sheet xmlns:r="http://schemas.openxmlformats.org/officeDocument/2006/relationships" name="CP-150" sheetId="88" state="visible" r:id="rId88"/>
    <sheet xmlns:r="http://schemas.openxmlformats.org/officeDocument/2006/relationships" name="CP-151" sheetId="89" state="visible" r:id="rId89"/>
    <sheet xmlns:r="http://schemas.openxmlformats.org/officeDocument/2006/relationships" name="CP-152" sheetId="90" state="visible" r:id="rId90"/>
    <sheet xmlns:r="http://schemas.openxmlformats.org/officeDocument/2006/relationships" name="CP-153" sheetId="91" state="visible" r:id="rId91"/>
    <sheet xmlns:r="http://schemas.openxmlformats.org/officeDocument/2006/relationships" name="CP-154" sheetId="92" state="visible" r:id="rId92"/>
    <sheet xmlns:r="http://schemas.openxmlformats.org/officeDocument/2006/relationships" name="CP-155" sheetId="93" state="visible" r:id="rId93"/>
    <sheet xmlns:r="http://schemas.openxmlformats.org/officeDocument/2006/relationships" name="CP-156" sheetId="94" state="visible" r:id="rId94"/>
    <sheet xmlns:r="http://schemas.openxmlformats.org/officeDocument/2006/relationships" name="CP-157" sheetId="95" state="visible" r:id="rId95"/>
    <sheet xmlns:r="http://schemas.openxmlformats.org/officeDocument/2006/relationships" name="CP-158" sheetId="96" state="visible" r:id="rId96"/>
    <sheet xmlns:r="http://schemas.openxmlformats.org/officeDocument/2006/relationships" name="CP-159" sheetId="97" state="visible" r:id="rId97"/>
    <sheet xmlns:r="http://schemas.openxmlformats.org/officeDocument/2006/relationships" name="CP-160" sheetId="98" state="visible" r:id="rId98"/>
    <sheet xmlns:r="http://schemas.openxmlformats.org/officeDocument/2006/relationships" name="CP-161" sheetId="99" state="visible" r:id="rId99"/>
    <sheet xmlns:r="http://schemas.openxmlformats.org/officeDocument/2006/relationships" name="CP-162" sheetId="100" state="visible" r:id="rId100"/>
    <sheet xmlns:r="http://schemas.openxmlformats.org/officeDocument/2006/relationships" name="CP-163" sheetId="101" state="visible" r:id="rId101"/>
    <sheet xmlns:r="http://schemas.openxmlformats.org/officeDocument/2006/relationships" name="DEF-001" sheetId="102" state="visible" r:id="rId102"/>
    <sheet xmlns:r="http://schemas.openxmlformats.org/officeDocument/2006/relationships" name="DEF-002" sheetId="103" state="visible" r:id="rId103"/>
    <sheet xmlns:r="http://schemas.openxmlformats.org/officeDocument/2006/relationships" name="DEF-003" sheetId="104" state="visible" r:id="rId104"/>
    <sheet xmlns:r="http://schemas.openxmlformats.org/officeDocument/2006/relationships" name="CP - Plantilla" sheetId="105" state="visible" r:id="rId105"/>
    <sheet xmlns:r="http://schemas.openxmlformats.org/officeDocument/2006/relationships" name="DF - Plantilla" sheetId="106" state="visible" r:id="rId106"/>
  </sheets>
  <definedNames>
    <definedName name="_xlnm._FilterDatabase" localSheetId="0" hidden="1">'Reporte de ejecución - Entrega2'!$A$3:$N$103</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13">
    <font>
      <name val="Calibri"/>
      <family val="2"/>
      <color theme="1"/>
      <sz val="11"/>
      <scheme val="minor"/>
    </font>
    <font>
      <name val="Arial"/>
      <b val="1"/>
      <sz val="15"/>
    </font>
    <font>
      <name val="Arial"/>
      <i val="1"/>
      <color rgb="00595959"/>
      <sz val="9"/>
    </font>
    <font>
      <name val="Arial"/>
      <b val="1"/>
      <color rgb="00FFFFFF"/>
      <sz val="10"/>
    </font>
    <font>
      <name val="Arial"/>
      <color rgb="000563C1"/>
      <sz val="10"/>
      <u val="single"/>
    </font>
    <font>
      <name val="Arial"/>
      <sz val="10"/>
    </font>
    <font>
      <name val="Arial"/>
      <color rgb="000000FF"/>
      <sz val="10"/>
    </font>
    <font>
      <name val="Arial"/>
      <b val="1"/>
      <color rgb="00FFFFFF"/>
      <sz val="11"/>
    </font>
    <font>
      <name val="Arial"/>
      <b val="1"/>
      <sz val="10"/>
    </font>
    <font>
      <name val="Arial"/>
      <i val="1"/>
      <color rgb="00595959"/>
      <sz val="8"/>
    </font>
    <font>
      <name val="Arial"/>
      <b val="1"/>
      <sz val="11"/>
    </font>
    <font>
      <name val="Arial"/>
      <b val="1"/>
      <sz val="13"/>
    </font>
    <font>
      <name val="Arial"/>
      <i val="1"/>
      <color rgb="00808080"/>
      <sz val="10"/>
    </font>
  </fonts>
  <fills count="8">
    <fill>
      <patternFill/>
    </fill>
    <fill>
      <patternFill patternType="gray125"/>
    </fill>
    <fill>
      <patternFill patternType="solid">
        <fgColor rgb="004472C4"/>
      </patternFill>
    </fill>
    <fill>
      <patternFill patternType="solid">
        <fgColor rgb="00FFFFCC"/>
      </patternFill>
    </fill>
    <fill>
      <patternFill patternType="solid">
        <fgColor rgb="00D9E1F2"/>
      </patternFill>
    </fill>
    <fill>
      <patternFill patternType="solid">
        <fgColor rgb="00C00000"/>
      </patternFill>
    </fill>
    <fill>
      <patternFill patternType="solid">
        <fgColor rgb="00C6EFCE"/>
      </patternFill>
    </fill>
    <fill>
      <patternFill patternType="solid">
        <fgColor rgb="00FCE4D6"/>
      </patternFill>
    </fill>
  </fills>
  <borders count="6">
    <border>
      <left/>
      <right/>
      <top/>
      <bottom/>
      <diagonal/>
    </border>
    <border>
      <left style="thin">
        <color rgb="00808080"/>
      </left>
      <right style="thin">
        <color rgb="00808080"/>
      </right>
      <top style="thin">
        <color rgb="00808080"/>
      </top>
      <bottom style="thin">
        <color rgb="00808080"/>
      </bottom>
    </border>
    <border>
      <left/>
      <right/>
      <top style="thin">
        <color rgb="00808080"/>
      </top>
      <bottom/>
      <diagonal/>
    </border>
    <border>
      <left/>
      <right style="thin">
        <color rgb="00808080"/>
      </right>
      <top style="thin">
        <color rgb="00808080"/>
      </top>
      <bottom/>
      <diagonal/>
    </border>
    <border>
      <left/>
      <right/>
      <top style="thin">
        <color rgb="00808080"/>
      </top>
      <bottom style="thin">
        <color rgb="00808080"/>
      </bottom>
      <diagonal/>
    </border>
    <border>
      <left/>
      <right style="thin">
        <color rgb="00808080"/>
      </right>
      <top style="thin">
        <color rgb="00808080"/>
      </top>
      <bottom style="thin">
        <color rgb="00808080"/>
      </bottom>
      <diagonal/>
    </border>
  </borders>
  <cellStyleXfs count="1">
    <xf numFmtId="0" fontId="0" fillId="0" borderId="0"/>
  </cellStyleXfs>
  <cellXfs count="39">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7" fillId="2" borderId="1" applyAlignment="1" pivotButton="0" quotePrefix="0" xfId="0">
      <alignment vertical="center"/>
    </xf>
    <xf numFmtId="0" fontId="0" fillId="2" borderId="1" pivotButton="0" quotePrefix="0" xfId="0"/>
    <xf numFmtId="0" fontId="4" fillId="0" borderId="1" applyAlignment="1" pivotButton="0" quotePrefix="0" xfId="0">
      <alignment vertical="top"/>
    </xf>
    <xf numFmtId="0" fontId="5" fillId="0" borderId="1" applyAlignment="1" pivotButton="0" quotePrefix="0" xfId="0">
      <alignment vertical="top" wrapText="1"/>
    </xf>
    <xf numFmtId="0" fontId="5" fillId="0" borderId="1" applyAlignment="1" pivotButton="0" quotePrefix="0" xfId="0">
      <alignment horizontal="center" vertical="top"/>
    </xf>
    <xf numFmtId="0" fontId="5" fillId="0" borderId="1" applyAlignment="1" pivotButton="0" quotePrefix="0" xfId="0">
      <alignment vertical="top"/>
    </xf>
    <xf numFmtId="0" fontId="6" fillId="0" borderId="1" applyAlignment="1" pivotButton="0" quotePrefix="0" xfId="0">
      <alignment horizontal="center" vertical="top"/>
    </xf>
    <xf numFmtId="0" fontId="6" fillId="0" borderId="1" applyAlignment="1" pivotButton="0" quotePrefix="0" xfId="0">
      <alignment vertical="top" wrapText="1"/>
    </xf>
    <xf numFmtId="165" fontId="6" fillId="0" borderId="1" applyAlignment="1" pivotButton="0" quotePrefix="0" xfId="0">
      <alignment vertical="top"/>
    </xf>
    <xf numFmtId="0" fontId="8" fillId="3" borderId="1" applyAlignment="1" pivotButton="0" quotePrefix="0" xfId="0">
      <alignment vertical="top" wrapText="1"/>
    </xf>
    <xf numFmtId="0" fontId="0" fillId="0" borderId="1" pivotButton="0" quotePrefix="0" xfId="0"/>
    <xf numFmtId="165" fontId="6" fillId="0" borderId="1" applyAlignment="1" pivotButton="0" quotePrefix="0" xfId="0">
      <alignment vertical="top" wrapText="1"/>
    </xf>
    <xf numFmtId="0" fontId="8" fillId="4" borderId="1" applyAlignment="1" pivotButton="0" quotePrefix="0" xfId="0">
      <alignment horizontal="center" vertical="center" wrapText="1"/>
    </xf>
    <xf numFmtId="166" fontId="5" fillId="0" borderId="1" applyAlignment="1" pivotButton="0" quotePrefix="0" xfId="0">
      <alignment horizontal="center" vertical="top"/>
    </xf>
    <xf numFmtId="0" fontId="8" fillId="0" borderId="1" applyAlignment="1" pivotButton="0" quotePrefix="0" xfId="0">
      <alignment vertical="top" wrapText="1"/>
    </xf>
    <xf numFmtId="0" fontId="8" fillId="0" borderId="1" applyAlignment="1" pivotButton="0" quotePrefix="0" xfId="0">
      <alignment horizontal="center" vertical="top"/>
    </xf>
    <xf numFmtId="166" fontId="8" fillId="0" borderId="1" applyAlignment="1" pivotButton="0" quotePrefix="0" xfId="0">
      <alignment horizontal="center" vertical="top"/>
    </xf>
    <xf numFmtId="0" fontId="9" fillId="0" borderId="0" applyAlignment="1" pivotButton="0" quotePrefix="0" xfId="0">
      <alignment vertical="top" wrapText="1"/>
    </xf>
    <xf numFmtId="1" fontId="5" fillId="0" borderId="1" applyAlignment="1" pivotButton="0" quotePrefix="0" xfId="0">
      <alignment horizontal="center" vertical="top"/>
    </xf>
    <xf numFmtId="0" fontId="0" fillId="0" borderId="4" pivotButton="0" quotePrefix="0" xfId="0"/>
    <xf numFmtId="0" fontId="0" fillId="0" borderId="5" pivotButton="0" quotePrefix="0" xfId="0"/>
    <xf numFmtId="0" fontId="1" fillId="0" borderId="0" applyAlignment="1" pivotButton="0" quotePrefix="0" xfId="0">
      <alignment vertical="top" wrapText="1"/>
    </xf>
    <xf numFmtId="0" fontId="3" fillId="5" borderId="1" applyAlignment="1" pivotButton="0" quotePrefix="0" xfId="0">
      <alignment horizontal="center" vertical="center" wrapText="1"/>
    </xf>
    <xf numFmtId="0" fontId="7" fillId="5" borderId="1" applyAlignment="1" pivotButton="0" quotePrefix="0" xfId="0">
      <alignment vertical="top" wrapText="1"/>
    </xf>
    <xf numFmtId="0" fontId="0" fillId="5" borderId="1" pivotButton="0" quotePrefix="0" xfId="0"/>
    <xf numFmtId="0" fontId="4" fillId="0" borderId="1" applyAlignment="1" pivotButton="0" quotePrefix="0" xfId="0">
      <alignment vertical="top" wrapText="1"/>
    </xf>
    <xf numFmtId="0" fontId="7" fillId="2" borderId="1" applyAlignment="1" pivotButton="0" quotePrefix="0" xfId="0">
      <alignment vertical="top" wrapText="1"/>
    </xf>
    <xf numFmtId="0" fontId="4" fillId="6" borderId="1" applyAlignment="1" pivotButton="0" quotePrefix="0" xfId="0">
      <alignment vertical="top" wrapText="1"/>
    </xf>
    <xf numFmtId="0" fontId="0" fillId="6" borderId="1" pivotButton="0" quotePrefix="0" xfId="0"/>
    <xf numFmtId="0" fontId="0" fillId="3" borderId="1" pivotButton="0" quotePrefix="0" xfId="0"/>
    <xf numFmtId="0" fontId="10" fillId="0" borderId="1" applyAlignment="1" pivotButton="0" quotePrefix="0" xfId="0">
      <alignment vertical="center" wrapText="1"/>
    </xf>
    <xf numFmtId="0" fontId="5" fillId="7" borderId="1" applyAlignment="1" pivotButton="0" quotePrefix="0" xfId="0">
      <alignment vertical="top" wrapText="1"/>
    </xf>
    <xf numFmtId="0" fontId="0" fillId="7" borderId="1" pivotButton="0" quotePrefix="0" xfId="0"/>
    <xf numFmtId="0" fontId="11" fillId="0" borderId="0" applyAlignment="1" pivotButton="0" quotePrefix="0" xfId="0">
      <alignment vertical="top" wrapText="1"/>
    </xf>
    <xf numFmtId="0" fontId="12" fillId="0" borderId="1" applyAlignment="1" pivotButton="0" quotePrefix="0" xfId="0">
      <alignment vertical="top" wrapText="1"/>
    </xf>
  </cellXfs>
  <cellStyles count="1">
    <cellStyle name="Normal" xfId="0" builtinId="0" hidden="0"/>
  </cellStyles>
  <dxfs count="5">
    <dxf>
      <font>
        <color rgb="009C0006"/>
      </font>
      <fill>
        <patternFill patternType="solid">
          <bgColor rgb="00FFC7CE"/>
        </patternFill>
      </fill>
    </dxf>
    <dxf>
      <font>
        <color rgb="009C5700"/>
      </font>
      <fill>
        <patternFill patternType="solid">
          <bgColor rgb="00FFEB9C"/>
        </patternFill>
      </fill>
    </dxf>
    <dxf>
      <font>
        <color rgb="00006100"/>
      </font>
      <fill>
        <patternFill patternType="solid">
          <bgColor rgb="00C6EFCE"/>
        </patternFill>
      </fill>
    </dxf>
    <dxf>
      <font>
        <color rgb="00595959"/>
      </font>
      <fill>
        <patternFill patternType="solid">
          <bgColor rgb="00EDEDED"/>
        </patternFill>
      </fill>
    </dxf>
    <dxf>
      <font>
        <b val="1"/>
      </font>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worksheet" Target="/xl/worksheets/sheet95.xml" Id="rId95"/><Relationship Type="http://schemas.openxmlformats.org/officeDocument/2006/relationships/worksheet" Target="/xl/worksheets/sheet96.xml" Id="rId96"/><Relationship Type="http://schemas.openxmlformats.org/officeDocument/2006/relationships/worksheet" Target="/xl/worksheets/sheet97.xml" Id="rId97"/><Relationship Type="http://schemas.openxmlformats.org/officeDocument/2006/relationships/worksheet" Target="/xl/worksheets/sheet98.xml" Id="rId98"/><Relationship Type="http://schemas.openxmlformats.org/officeDocument/2006/relationships/worksheet" Target="/xl/worksheets/sheet99.xml" Id="rId99"/><Relationship Type="http://schemas.openxmlformats.org/officeDocument/2006/relationships/worksheet" Target="/xl/worksheets/sheet100.xml" Id="rId100"/><Relationship Type="http://schemas.openxmlformats.org/officeDocument/2006/relationships/worksheet" Target="/xl/worksheets/sheet101.xml" Id="rId101"/><Relationship Type="http://schemas.openxmlformats.org/officeDocument/2006/relationships/worksheet" Target="/xl/worksheets/sheet102.xml" Id="rId102"/><Relationship Type="http://schemas.openxmlformats.org/officeDocument/2006/relationships/worksheet" Target="/xl/worksheets/sheet103.xml" Id="rId103"/><Relationship Type="http://schemas.openxmlformats.org/officeDocument/2006/relationships/worksheet" Target="/xl/worksheets/sheet104.xml" Id="rId104"/><Relationship Type="http://schemas.openxmlformats.org/officeDocument/2006/relationships/worksheet" Target="/xl/worksheets/sheet105.xml" Id="rId105"/><Relationship Type="http://schemas.openxmlformats.org/officeDocument/2006/relationships/worksheet" Target="/xl/worksheets/sheet106.xml" Id="rId106"/><Relationship Type="http://schemas.openxmlformats.org/officeDocument/2006/relationships/styles" Target="styles.xml" Id="rId107"/><Relationship Type="http://schemas.openxmlformats.org/officeDocument/2006/relationships/theme" Target="theme/theme1.xml" Id="rId10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Ciclo 2 (V2): % Aprobado / Fallido / Bloqueado</a:t>
            </a:r>
          </a:p>
        </rich>
      </tx>
    </title>
    <plotArea>
      <pieChart>
        <varyColors val="1"/>
        <ser>
          <idx val="0"/>
          <order val="0"/>
          <tx>
            <strRef>
              <f>'Reporte de ejecución - Entrega2'!Q15</f>
            </strRef>
          </tx>
          <spPr>
            <a:ln xmlns:a="http://schemas.openxmlformats.org/drawingml/2006/main">
              <a:prstDash val="solid"/>
            </a:ln>
          </spPr>
          <dPt>
            <idx val="0"/>
            <spPr>
              <a:solidFill xmlns:a="http://schemas.openxmlformats.org/drawingml/2006/main">
                <a:srgbClr val="70AD47"/>
              </a:solidFill>
              <a:ln xmlns:a="http://schemas.openxmlformats.org/drawingml/2006/main">
                <a:prstDash val="solid"/>
              </a:ln>
            </spPr>
          </dPt>
          <dPt>
            <idx val="1"/>
            <spPr>
              <a:solidFill xmlns:a="http://schemas.openxmlformats.org/drawingml/2006/main">
                <a:srgbClr val="C00000"/>
              </a:solidFill>
              <a:ln xmlns:a="http://schemas.openxmlformats.org/drawingml/2006/main">
                <a:prstDash val="solid"/>
              </a:ln>
            </spPr>
          </dPt>
          <dPt>
            <idx val="2"/>
            <spPr>
              <a:solidFill xmlns:a="http://schemas.openxmlformats.org/drawingml/2006/main">
                <a:srgbClr val="FFC000"/>
              </a:solidFill>
              <a:ln xmlns:a="http://schemas.openxmlformats.org/drawingml/2006/main">
                <a:prstDash val="solid"/>
              </a:ln>
            </spPr>
          </dPt>
          <cat>
            <numRef>
              <f>'Reporte de ejecución - Entrega2'!$P$16:$P$18</f>
            </numRef>
          </cat>
          <val>
            <numRef>
              <f>'Reporte de ejecución - Entrega2'!$Q$16:$Q$18</f>
            </numRef>
          </val>
        </ser>
        <dLbls>
          <showVal val="0"/>
          <showCatName val="0"/>
          <showPercent val="1"/>
        </dLbls>
        <firstSliceAng val="0"/>
      </pie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 de casos por estado: Entrega 1 vs Entrega 2</a:t>
            </a:r>
          </a:p>
        </rich>
      </tx>
    </title>
    <plotArea>
      <barChart>
        <barDir val="col"/>
        <grouping val="clustered"/>
        <ser>
          <idx val="0"/>
          <order val="0"/>
          <tx>
            <strRef>
              <f>'Reporte de ejecución - Entrega2'!Q38</f>
            </strRef>
          </tx>
          <spPr>
            <a:ln xmlns:a="http://schemas.openxmlformats.org/drawingml/2006/main">
              <a:prstDash val="solid"/>
            </a:ln>
          </spPr>
          <cat>
            <numRef>
              <f>'Reporte de ejecución - Entrega2'!$P$39:$P$41</f>
            </numRef>
          </cat>
          <val>
            <numRef>
              <f>'Reporte de ejecución - Entrega2'!$Q$39:$Q$41</f>
            </numRef>
          </val>
        </ser>
        <ser>
          <idx val="1"/>
          <order val="1"/>
          <tx>
            <strRef>
              <f>'Reporte de ejecución - Entrega2'!R38</f>
            </strRef>
          </tx>
          <spPr>
            <a:ln xmlns:a="http://schemas.openxmlformats.org/drawingml/2006/main">
              <a:prstDash val="solid"/>
            </a:ln>
          </spPr>
          <cat>
            <numRef>
              <f>'Reporte de ejecución - Entrega2'!$P$39:$P$41</f>
            </numRef>
          </cat>
          <val>
            <numRef>
              <f>'Reporte de ejecución - Entrega2'!$R$39:$R$41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max val="1"/>
          <min val="0"/>
        </scaling>
        <axPos val="l"/>
        <majorGridlines/>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15</col>
      <colOff>0</colOff>
      <row>20</row>
      <rowOff>0</rowOff>
    </from>
    <ext cx="432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43</row>
      <rowOff>0</rowOff>
    </from>
    <ext cx="504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P-067'!A1" TargetMode="External" Id="rId1"/><Relationship Type="http://schemas.openxmlformats.org/officeDocument/2006/relationships/hyperlink" Target="#'CP-068'!A1" TargetMode="External" Id="rId2"/><Relationship Type="http://schemas.openxmlformats.org/officeDocument/2006/relationships/hyperlink" Target="#'CP-069'!A1" TargetMode="External" Id="rId3"/><Relationship Type="http://schemas.openxmlformats.org/officeDocument/2006/relationships/hyperlink" Target="#'CP-141'!A1" TargetMode="External" Id="rId4"/><Relationship Type="http://schemas.openxmlformats.org/officeDocument/2006/relationships/hyperlink" Target="#'CP-070'!A1" TargetMode="External" Id="rId5"/><Relationship Type="http://schemas.openxmlformats.org/officeDocument/2006/relationships/hyperlink" Target="#'CP-071'!A1" TargetMode="External" Id="rId6"/><Relationship Type="http://schemas.openxmlformats.org/officeDocument/2006/relationships/hyperlink" Target="#'CP-072'!A1" TargetMode="External" Id="rId7"/><Relationship Type="http://schemas.openxmlformats.org/officeDocument/2006/relationships/hyperlink" Target="#'CP-073'!A1" TargetMode="External" Id="rId8"/><Relationship Type="http://schemas.openxmlformats.org/officeDocument/2006/relationships/hyperlink" Target="#'CP-074'!A1" TargetMode="External" Id="rId9"/><Relationship Type="http://schemas.openxmlformats.org/officeDocument/2006/relationships/hyperlink" Target="#'CP-075'!A1" TargetMode="External" Id="rId10"/><Relationship Type="http://schemas.openxmlformats.org/officeDocument/2006/relationships/hyperlink" Target="#'CP-076'!A1" TargetMode="External" Id="rId11"/><Relationship Type="http://schemas.openxmlformats.org/officeDocument/2006/relationships/hyperlink" Target="#'CP-142'!A1" TargetMode="External" Id="rId12"/><Relationship Type="http://schemas.openxmlformats.org/officeDocument/2006/relationships/hyperlink" Target="#'CP-077'!A1" TargetMode="External" Id="rId13"/><Relationship Type="http://schemas.openxmlformats.org/officeDocument/2006/relationships/hyperlink" Target="#'CP-078'!A1" TargetMode="External" Id="rId14"/><Relationship Type="http://schemas.openxmlformats.org/officeDocument/2006/relationships/hyperlink" Target="#'CP-079'!A1" TargetMode="External" Id="rId15"/><Relationship Type="http://schemas.openxmlformats.org/officeDocument/2006/relationships/hyperlink" Target="#'CP-143'!A1" TargetMode="External" Id="rId16"/><Relationship Type="http://schemas.openxmlformats.org/officeDocument/2006/relationships/hyperlink" Target="#'CP-144'!A1" TargetMode="External" Id="rId17"/><Relationship Type="http://schemas.openxmlformats.org/officeDocument/2006/relationships/hyperlink" Target="#'CP-080'!A1" TargetMode="External" Id="rId18"/><Relationship Type="http://schemas.openxmlformats.org/officeDocument/2006/relationships/hyperlink" Target="#'CP-145'!A1" TargetMode="External" Id="rId19"/><Relationship Type="http://schemas.openxmlformats.org/officeDocument/2006/relationships/hyperlink" Target="#'CP-081'!A1" TargetMode="External" Id="rId20"/><Relationship Type="http://schemas.openxmlformats.org/officeDocument/2006/relationships/hyperlink" Target="#'CP-082'!A1" TargetMode="External" Id="rId21"/><Relationship Type="http://schemas.openxmlformats.org/officeDocument/2006/relationships/hyperlink" Target="#'CP-083'!A1" TargetMode="External" Id="rId22"/><Relationship Type="http://schemas.openxmlformats.org/officeDocument/2006/relationships/hyperlink" Target="#'CP-146'!A1" TargetMode="External" Id="rId23"/><Relationship Type="http://schemas.openxmlformats.org/officeDocument/2006/relationships/hyperlink" Target="#'CP-084'!A1" TargetMode="External" Id="rId24"/><Relationship Type="http://schemas.openxmlformats.org/officeDocument/2006/relationships/hyperlink" Target="#'CP-085'!A1" TargetMode="External" Id="rId25"/><Relationship Type="http://schemas.openxmlformats.org/officeDocument/2006/relationships/hyperlink" Target="#'CP-086'!A1" TargetMode="External" Id="rId26"/><Relationship Type="http://schemas.openxmlformats.org/officeDocument/2006/relationships/hyperlink" Target="#'CP-147'!A1" TargetMode="External" Id="rId27"/><Relationship Type="http://schemas.openxmlformats.org/officeDocument/2006/relationships/hyperlink" Target="#'CP-087'!A1" TargetMode="External" Id="rId28"/><Relationship Type="http://schemas.openxmlformats.org/officeDocument/2006/relationships/hyperlink" Target="#'CP-088'!A1" TargetMode="External" Id="rId29"/><Relationship Type="http://schemas.openxmlformats.org/officeDocument/2006/relationships/hyperlink" Target="#'CP-089'!A1" TargetMode="External" Id="rId30"/><Relationship Type="http://schemas.openxmlformats.org/officeDocument/2006/relationships/hyperlink" Target="#'CP-090'!A1" TargetMode="External" Id="rId31"/><Relationship Type="http://schemas.openxmlformats.org/officeDocument/2006/relationships/hyperlink" Target="#'CP-091'!A1" TargetMode="External" Id="rId32"/><Relationship Type="http://schemas.openxmlformats.org/officeDocument/2006/relationships/hyperlink" Target="#'CP-092'!A1" TargetMode="External" Id="rId33"/><Relationship Type="http://schemas.openxmlformats.org/officeDocument/2006/relationships/hyperlink" Target="#'CP-093'!A1" TargetMode="External" Id="rId34"/><Relationship Type="http://schemas.openxmlformats.org/officeDocument/2006/relationships/hyperlink" Target="#'CP-094'!A1" TargetMode="External" Id="rId35"/><Relationship Type="http://schemas.openxmlformats.org/officeDocument/2006/relationships/hyperlink" Target="#'CP-148'!A1" TargetMode="External" Id="rId36"/><Relationship Type="http://schemas.openxmlformats.org/officeDocument/2006/relationships/hyperlink" Target="#'CP-095'!A1" TargetMode="External" Id="rId37"/><Relationship Type="http://schemas.openxmlformats.org/officeDocument/2006/relationships/hyperlink" Target="#'CP-096'!A1" TargetMode="External" Id="rId38"/><Relationship Type="http://schemas.openxmlformats.org/officeDocument/2006/relationships/hyperlink" Target="#'CP-097'!A1" TargetMode="External" Id="rId39"/><Relationship Type="http://schemas.openxmlformats.org/officeDocument/2006/relationships/hyperlink" Target="#'CP-149'!A1" TargetMode="External" Id="rId40"/><Relationship Type="http://schemas.openxmlformats.org/officeDocument/2006/relationships/hyperlink" Target="#'CP-098'!A1" TargetMode="External" Id="rId41"/><Relationship Type="http://schemas.openxmlformats.org/officeDocument/2006/relationships/hyperlink" Target="#'CP-099'!A1" TargetMode="External" Id="rId42"/><Relationship Type="http://schemas.openxmlformats.org/officeDocument/2006/relationships/hyperlink" Target="#'CP-100'!A1" TargetMode="External" Id="rId43"/><Relationship Type="http://schemas.openxmlformats.org/officeDocument/2006/relationships/hyperlink" Target="#'CP-150'!A1" TargetMode="External" Id="rId44"/><Relationship Type="http://schemas.openxmlformats.org/officeDocument/2006/relationships/hyperlink" Target="#'CP-101'!A1" TargetMode="External" Id="rId45"/><Relationship Type="http://schemas.openxmlformats.org/officeDocument/2006/relationships/hyperlink" Target="#'CP-102'!A1" TargetMode="External" Id="rId46"/><Relationship Type="http://schemas.openxmlformats.org/officeDocument/2006/relationships/hyperlink" Target="#'CP-103'!A1" TargetMode="External" Id="rId47"/><Relationship Type="http://schemas.openxmlformats.org/officeDocument/2006/relationships/hyperlink" Target="#'CP-151'!A1" TargetMode="External" Id="rId48"/><Relationship Type="http://schemas.openxmlformats.org/officeDocument/2006/relationships/hyperlink" Target="#'CP-104'!A1" TargetMode="External" Id="rId49"/><Relationship Type="http://schemas.openxmlformats.org/officeDocument/2006/relationships/hyperlink" Target="#'CP-105'!A1" TargetMode="External" Id="rId50"/><Relationship Type="http://schemas.openxmlformats.org/officeDocument/2006/relationships/hyperlink" Target="#'CP-152'!A1" TargetMode="External" Id="rId51"/><Relationship Type="http://schemas.openxmlformats.org/officeDocument/2006/relationships/hyperlink" Target="#'CP-153'!A1" TargetMode="External" Id="rId52"/><Relationship Type="http://schemas.openxmlformats.org/officeDocument/2006/relationships/hyperlink" Target="#'CP-154'!A1" TargetMode="External" Id="rId53"/><Relationship Type="http://schemas.openxmlformats.org/officeDocument/2006/relationships/hyperlink" Target="#'CP-155'!A1" TargetMode="External" Id="rId54"/><Relationship Type="http://schemas.openxmlformats.org/officeDocument/2006/relationships/hyperlink" Target="#'CP-156'!A1" TargetMode="External" Id="rId55"/><Relationship Type="http://schemas.openxmlformats.org/officeDocument/2006/relationships/hyperlink" Target="#'CP-157'!A1" TargetMode="External" Id="rId56"/><Relationship Type="http://schemas.openxmlformats.org/officeDocument/2006/relationships/hyperlink" Target="#'CP-158'!A1" TargetMode="External" Id="rId57"/><Relationship Type="http://schemas.openxmlformats.org/officeDocument/2006/relationships/hyperlink" Target="#'CP-159'!A1" TargetMode="External" Id="rId58"/><Relationship Type="http://schemas.openxmlformats.org/officeDocument/2006/relationships/hyperlink" Target="#'CP-160'!A1" TargetMode="External" Id="rId59"/><Relationship Type="http://schemas.openxmlformats.org/officeDocument/2006/relationships/hyperlink" Target="#'CP-161'!A1" TargetMode="External" Id="rId60"/><Relationship Type="http://schemas.openxmlformats.org/officeDocument/2006/relationships/hyperlink" Target="#'CP-162'!A1" TargetMode="External" Id="rId61"/><Relationship Type="http://schemas.openxmlformats.org/officeDocument/2006/relationships/hyperlink" Target="#'CP-163'!A1" TargetMode="External" Id="rId62"/><Relationship Type="http://schemas.openxmlformats.org/officeDocument/2006/relationships/hyperlink" Target="#'CP-001'!A1" TargetMode="External" Id="rId63"/><Relationship Type="http://schemas.openxmlformats.org/officeDocument/2006/relationships/hyperlink" Target="#'CP-002'!A1" TargetMode="External" Id="rId64"/><Relationship Type="http://schemas.openxmlformats.org/officeDocument/2006/relationships/hyperlink" Target="#'CP-003'!A1" TargetMode="External" Id="rId65"/><Relationship Type="http://schemas.openxmlformats.org/officeDocument/2006/relationships/hyperlink" Target="#'CP-005'!A1" TargetMode="External" Id="rId66"/><Relationship Type="http://schemas.openxmlformats.org/officeDocument/2006/relationships/hyperlink" Target="#'CP-007'!A1" TargetMode="External" Id="rId67"/><Relationship Type="http://schemas.openxmlformats.org/officeDocument/2006/relationships/hyperlink" Target="#'CP-008'!A1" TargetMode="External" Id="rId68"/><Relationship Type="http://schemas.openxmlformats.org/officeDocument/2006/relationships/hyperlink" Target="#'CP-009'!A1" TargetMode="External" Id="rId69"/><Relationship Type="http://schemas.openxmlformats.org/officeDocument/2006/relationships/hyperlink" Target="#'CP-011'!A1" TargetMode="External" Id="rId70"/><Relationship Type="http://schemas.openxmlformats.org/officeDocument/2006/relationships/hyperlink" Target="#'CP-012'!A1" TargetMode="External" Id="rId71"/><Relationship Type="http://schemas.openxmlformats.org/officeDocument/2006/relationships/hyperlink" Target="#'CP-014'!A1" TargetMode="External" Id="rId72"/><Relationship Type="http://schemas.openxmlformats.org/officeDocument/2006/relationships/hyperlink" Target="#'CP-015'!A1" TargetMode="External" Id="rId73"/><Relationship Type="http://schemas.openxmlformats.org/officeDocument/2006/relationships/hyperlink" Target="#'CP-016'!A1" TargetMode="External" Id="rId74"/><Relationship Type="http://schemas.openxmlformats.org/officeDocument/2006/relationships/hyperlink" Target="#'CP-017'!A1" TargetMode="External" Id="rId75"/><Relationship Type="http://schemas.openxmlformats.org/officeDocument/2006/relationships/hyperlink" Target="#'CP-018'!A1" TargetMode="External" Id="rId76"/><Relationship Type="http://schemas.openxmlformats.org/officeDocument/2006/relationships/hyperlink" Target="#'CP-019'!A1" TargetMode="External" Id="rId77"/><Relationship Type="http://schemas.openxmlformats.org/officeDocument/2006/relationships/hyperlink" Target="#'CP-020'!A1" TargetMode="External" Id="rId78"/><Relationship Type="http://schemas.openxmlformats.org/officeDocument/2006/relationships/hyperlink" Target="#'CP-023'!A1" TargetMode="External" Id="rId79"/><Relationship Type="http://schemas.openxmlformats.org/officeDocument/2006/relationships/hyperlink" Target="#'CP-024'!A1" TargetMode="External" Id="rId80"/><Relationship Type="http://schemas.openxmlformats.org/officeDocument/2006/relationships/hyperlink" Target="#'CP-025'!A1" TargetMode="External" Id="rId81"/><Relationship Type="http://schemas.openxmlformats.org/officeDocument/2006/relationships/hyperlink" Target="#'CP-030'!A1" TargetMode="External" Id="rId82"/><Relationship Type="http://schemas.openxmlformats.org/officeDocument/2006/relationships/hyperlink" Target="#'CP-031'!A1" TargetMode="External" Id="rId83"/><Relationship Type="http://schemas.openxmlformats.org/officeDocument/2006/relationships/hyperlink" Target="#'CP-033'!A1" TargetMode="External" Id="rId84"/><Relationship Type="http://schemas.openxmlformats.org/officeDocument/2006/relationships/hyperlink" Target="#'CP-036'!A1" TargetMode="External" Id="rId85"/><Relationship Type="http://schemas.openxmlformats.org/officeDocument/2006/relationships/hyperlink" Target="#'CP-047'!A1" TargetMode="External" Id="rId86"/><Relationship Type="http://schemas.openxmlformats.org/officeDocument/2006/relationships/hyperlink" Target="#'CP-049'!A1" TargetMode="External" Id="rId87"/><Relationship Type="http://schemas.openxmlformats.org/officeDocument/2006/relationships/hyperlink" Target="#'CP-050'!A1" TargetMode="External" Id="rId88"/><Relationship Type="http://schemas.openxmlformats.org/officeDocument/2006/relationships/hyperlink" Target="#'CP-051'!A1" TargetMode="External" Id="rId89"/><Relationship Type="http://schemas.openxmlformats.org/officeDocument/2006/relationships/hyperlink" Target="#'CP-052'!A1" TargetMode="External" Id="rId90"/><Relationship Type="http://schemas.openxmlformats.org/officeDocument/2006/relationships/hyperlink" Target="#'CP-053'!A1" TargetMode="External" Id="rId91"/><Relationship Type="http://schemas.openxmlformats.org/officeDocument/2006/relationships/hyperlink" Target="#'CP-055'!A1" TargetMode="External" Id="rId92"/><Relationship Type="http://schemas.openxmlformats.org/officeDocument/2006/relationships/hyperlink" Target="#'CP-057'!A1" TargetMode="External" Id="rId93"/><Relationship Type="http://schemas.openxmlformats.org/officeDocument/2006/relationships/hyperlink" Target="#'CP-059'!A1" TargetMode="External" Id="rId94"/><Relationship Type="http://schemas.openxmlformats.org/officeDocument/2006/relationships/hyperlink" Target="#'CP-060'!A1" TargetMode="External" Id="rId95"/><Relationship Type="http://schemas.openxmlformats.org/officeDocument/2006/relationships/hyperlink" Target="#'CP-061'!A1" TargetMode="External" Id="rId96"/><Relationship Type="http://schemas.openxmlformats.org/officeDocument/2006/relationships/hyperlink" Target="#'CP-062'!A1" TargetMode="External" Id="rId97"/><Relationship Type="http://schemas.openxmlformats.org/officeDocument/2006/relationships/hyperlink" Target="#'CP-032'!A1" TargetMode="External" Id="rId98"/><Relationship Type="http://schemas.openxmlformats.org/officeDocument/2006/relationships/hyperlink" Target="#'CP-034'!A1" TargetMode="External" Id="rId99"/><Relationship Type="http://schemas.openxmlformats.org/officeDocument/2006/relationships/hyperlink" Target="#'DEF-002'!A1" TargetMode="External" Id="rId100"/><Relationship Type="http://schemas.openxmlformats.org/officeDocument/2006/relationships/drawing" Target="/xl/drawings/drawing1.xml" Id="rId101"/></Relationships>
</file>

<file path=xl/worksheets/_rels/sheet2.xml.rels><Relationships xmlns="http://schemas.openxmlformats.org/package/2006/relationships"><Relationship Type="http://schemas.openxmlformats.org/officeDocument/2006/relationships/hyperlink" Target="#'DEF-001'!A1" TargetMode="External" Id="rId1"/><Relationship Type="http://schemas.openxmlformats.org/officeDocument/2006/relationships/hyperlink" Target="#'DEF-002'!A1" TargetMode="External" Id="rId2"/><Relationship Type="http://schemas.openxmlformats.org/officeDocument/2006/relationships/hyperlink" Target="#'DEF-003'!A1" TargetMode="External" Id="rId3"/></Relationships>
</file>

<file path=xl/worksheets/_rels/sheet3.xml.rels><Relationships xmlns="http://schemas.openxmlformats.org/package/2006/relationships"><Relationship Type="http://schemas.openxmlformats.org/officeDocument/2006/relationships/hyperlink" Target="#'Reporte de ejecuci&#243;n - Entrega2'!A66" TargetMode="External" Id="rId1"/></Relationships>
</file>

<file path=xl/worksheets/_rels/sheet4.xml.rels><Relationships xmlns="http://schemas.openxmlformats.org/package/2006/relationships"><Relationship Type="http://schemas.openxmlformats.org/officeDocument/2006/relationships/hyperlink" Target="#'Reporte de ejecuci&#243;n - Entrega2'!A67" TargetMode="External" Id="rId1"/></Relationships>
</file>

<file path=xl/worksheets/_rels/sheet5.xml.rels><Relationships xmlns="http://schemas.openxmlformats.org/package/2006/relationships"><Relationship Type="http://schemas.openxmlformats.org/officeDocument/2006/relationships/hyperlink" Target="#'Reporte de ejecuci&#243;n - Entrega2'!A68" TargetMode="External" Id="rId1"/></Relationships>
</file>

<file path=xl/worksheets/_rels/sheet6.xml.rels><Relationships xmlns="http://schemas.openxmlformats.org/package/2006/relationships"><Relationship Type="http://schemas.openxmlformats.org/officeDocument/2006/relationships/hyperlink" Target="#'Reporte de ejecuci&#243;n - Entrega2'!A69" TargetMode="External" Id="rId1"/></Relationships>
</file>

<file path=xl/worksheets/_rels/sheet7.xml.rels><Relationships xmlns="http://schemas.openxmlformats.org/package/2006/relationships"><Relationship Type="http://schemas.openxmlformats.org/officeDocument/2006/relationships/hyperlink" Target="#'Reporte de ejecuci&#243;n - Entrega2'!A70" TargetMode="External" Id="rId1"/></Relationships>
</file>

<file path=xl/worksheets/_rels/sheet8.xml.rels><Relationships xmlns="http://schemas.openxmlformats.org/package/2006/relationships"><Relationship Type="http://schemas.openxmlformats.org/officeDocument/2006/relationships/hyperlink" Target="#'Reporte de ejecuci&#243;n - Entrega2'!A71" TargetMode="External" Id="rId1"/></Relationships>
</file>

<file path=xl/worksheets/_rels/sheet9.xml.rels><Relationships xmlns="http://schemas.openxmlformats.org/package/2006/relationships"><Relationship Type="http://schemas.openxmlformats.org/officeDocument/2006/relationships/hyperlink" Target="#'Reporte de ejecuci&#243;n - Entrega2'!A72" TargetMode="External" Id="rId1"/></Relationships>
</file>

<file path=xl/worksheets/_rels/sheet10.xml.rels><Relationships xmlns="http://schemas.openxmlformats.org/package/2006/relationships"><Relationship Type="http://schemas.openxmlformats.org/officeDocument/2006/relationships/hyperlink" Target="#'Reporte de ejecuci&#243;n - Entrega2'!A73" TargetMode="External" Id="rId1"/></Relationships>
</file>

<file path=xl/worksheets/_rels/sheet11.xml.rels><Relationships xmlns="http://schemas.openxmlformats.org/package/2006/relationships"><Relationship Type="http://schemas.openxmlformats.org/officeDocument/2006/relationships/hyperlink" Target="#'Reporte de ejecuci&#243;n - Entrega2'!A74" TargetMode="External" Id="rId1"/></Relationships>
</file>

<file path=xl/worksheets/_rels/sheet12.xml.rels><Relationships xmlns="http://schemas.openxmlformats.org/package/2006/relationships"><Relationship Type="http://schemas.openxmlformats.org/officeDocument/2006/relationships/hyperlink" Target="#'Reporte de ejecuci&#243;n - Entrega2'!A75" TargetMode="External" Id="rId1"/></Relationships>
</file>

<file path=xl/worksheets/_rels/sheet13.xml.rels><Relationships xmlns="http://schemas.openxmlformats.org/package/2006/relationships"><Relationship Type="http://schemas.openxmlformats.org/officeDocument/2006/relationships/hyperlink" Target="#'Reporte de ejecuci&#243;n - Entrega2'!A76" TargetMode="External" Id="rId1"/></Relationships>
</file>

<file path=xl/worksheets/_rels/sheet14.xml.rels><Relationships xmlns="http://schemas.openxmlformats.org/package/2006/relationships"><Relationship Type="http://schemas.openxmlformats.org/officeDocument/2006/relationships/hyperlink" Target="#'Reporte de ejecuci&#243;n - Entrega2'!A77" TargetMode="External" Id="rId1"/></Relationships>
</file>

<file path=xl/worksheets/_rels/sheet15.xml.rels><Relationships xmlns="http://schemas.openxmlformats.org/package/2006/relationships"><Relationship Type="http://schemas.openxmlformats.org/officeDocument/2006/relationships/hyperlink" Target="#'Reporte de ejecuci&#243;n - Entrega2'!A78" TargetMode="External" Id="rId1"/></Relationships>
</file>

<file path=xl/worksheets/_rels/sheet16.xml.rels><Relationships xmlns="http://schemas.openxmlformats.org/package/2006/relationships"><Relationship Type="http://schemas.openxmlformats.org/officeDocument/2006/relationships/hyperlink" Target="#'Reporte de ejecuci&#243;n - Entrega2'!A79" TargetMode="External" Id="rId1"/></Relationships>
</file>

<file path=xl/worksheets/_rels/sheet17.xml.rels><Relationships xmlns="http://schemas.openxmlformats.org/package/2006/relationships"><Relationship Type="http://schemas.openxmlformats.org/officeDocument/2006/relationships/hyperlink" Target="#'Reporte de ejecuci&#243;n - Entrega2'!A80" TargetMode="External" Id="rId1"/></Relationships>
</file>

<file path=xl/worksheets/_rels/sheet18.xml.rels><Relationships xmlns="http://schemas.openxmlformats.org/package/2006/relationships"><Relationship Type="http://schemas.openxmlformats.org/officeDocument/2006/relationships/hyperlink" Target="#'Reporte de ejecuci&#243;n - Entrega2'!A81" TargetMode="External" Id="rId1"/></Relationships>
</file>

<file path=xl/worksheets/_rels/sheet19.xml.rels><Relationships xmlns="http://schemas.openxmlformats.org/package/2006/relationships"><Relationship Type="http://schemas.openxmlformats.org/officeDocument/2006/relationships/hyperlink" Target="#'Reporte de ejecuci&#243;n - Entrega2'!A82" TargetMode="External" Id="rId1"/></Relationships>
</file>

<file path=xl/worksheets/_rels/sheet20.xml.rels><Relationships xmlns="http://schemas.openxmlformats.org/package/2006/relationships"><Relationship Type="http://schemas.openxmlformats.org/officeDocument/2006/relationships/hyperlink" Target="#'Reporte de ejecuci&#243;n - Entrega2'!A83" TargetMode="External" Id="rId1"/></Relationships>
</file>

<file path=xl/worksheets/_rels/sheet21.xml.rels><Relationships xmlns="http://schemas.openxmlformats.org/package/2006/relationships"><Relationship Type="http://schemas.openxmlformats.org/officeDocument/2006/relationships/hyperlink" Target="#'Reporte de ejecuci&#243;n - Entrega2'!A84" TargetMode="External" Id="rId1"/></Relationships>
</file>

<file path=xl/worksheets/_rels/sheet22.xml.rels><Relationships xmlns="http://schemas.openxmlformats.org/package/2006/relationships"><Relationship Type="http://schemas.openxmlformats.org/officeDocument/2006/relationships/hyperlink" Target="#'Reporte de ejecuci&#243;n - Entrega2'!A85" TargetMode="External" Id="rId1"/></Relationships>
</file>

<file path=xl/worksheets/_rels/sheet23.xml.rels><Relationships xmlns="http://schemas.openxmlformats.org/package/2006/relationships"><Relationship Type="http://schemas.openxmlformats.org/officeDocument/2006/relationships/hyperlink" Target="#'Reporte de ejecuci&#243;n - Entrega2'!A86" TargetMode="External" Id="rId1"/></Relationships>
</file>

<file path=xl/worksheets/_rels/sheet24.xml.rels><Relationships xmlns="http://schemas.openxmlformats.org/package/2006/relationships"><Relationship Type="http://schemas.openxmlformats.org/officeDocument/2006/relationships/hyperlink" Target="#'Reporte de ejecuci&#243;n - Entrega2'!A101" TargetMode="External" Id="rId1"/></Relationships>
</file>

<file path=xl/worksheets/_rels/sheet25.xml.rels><Relationships xmlns="http://schemas.openxmlformats.org/package/2006/relationships"><Relationship Type="http://schemas.openxmlformats.org/officeDocument/2006/relationships/hyperlink" Target="#'Reporte de ejecuci&#243;n - Entrega2'!A87" TargetMode="External" Id="rId1"/></Relationships>
</file>

<file path=xl/worksheets/_rels/sheet26.xml.rels><Relationships xmlns="http://schemas.openxmlformats.org/package/2006/relationships"><Relationship Type="http://schemas.openxmlformats.org/officeDocument/2006/relationships/hyperlink" Target="#'Reporte de ejecuci&#243;n - Entrega2'!A102" TargetMode="External" Id="rId1"/></Relationships>
</file>

<file path=xl/worksheets/_rels/sheet27.xml.rels><Relationships xmlns="http://schemas.openxmlformats.org/package/2006/relationships"><Relationship Type="http://schemas.openxmlformats.org/officeDocument/2006/relationships/hyperlink" Target="#'Reporte de ejecuci&#243;n - Entrega2'!A88" TargetMode="External" Id="rId1"/></Relationships>
</file>

<file path=xl/worksheets/_rels/sheet28.xml.rels><Relationships xmlns="http://schemas.openxmlformats.org/package/2006/relationships"><Relationship Type="http://schemas.openxmlformats.org/officeDocument/2006/relationships/hyperlink" Target="#'Reporte de ejecuci&#243;n - Entrega2'!A89" TargetMode="External" Id="rId1"/></Relationships>
</file>

<file path=xl/worksheets/_rels/sheet29.xml.rels><Relationships xmlns="http://schemas.openxmlformats.org/package/2006/relationships"><Relationship Type="http://schemas.openxmlformats.org/officeDocument/2006/relationships/hyperlink" Target="#'Reporte de ejecuci&#243;n - Entrega2'!A90" TargetMode="External" Id="rId1"/></Relationships>
</file>

<file path=xl/worksheets/_rels/sheet30.xml.rels><Relationships xmlns="http://schemas.openxmlformats.org/package/2006/relationships"><Relationship Type="http://schemas.openxmlformats.org/officeDocument/2006/relationships/hyperlink" Target="#'Reporte de ejecuci&#243;n - Entrega2'!A91" TargetMode="External" Id="rId1"/></Relationships>
</file>

<file path=xl/worksheets/_rels/sheet31.xml.rels><Relationships xmlns="http://schemas.openxmlformats.org/package/2006/relationships"><Relationship Type="http://schemas.openxmlformats.org/officeDocument/2006/relationships/hyperlink" Target="#'Reporte de ejecuci&#243;n - Entrega2'!A92" TargetMode="External" Id="rId1"/></Relationships>
</file>

<file path=xl/worksheets/_rels/sheet32.xml.rels><Relationships xmlns="http://schemas.openxmlformats.org/package/2006/relationships"><Relationship Type="http://schemas.openxmlformats.org/officeDocument/2006/relationships/hyperlink" Target="#'Reporte de ejecuci&#243;n - Entrega2'!A93" TargetMode="External" Id="rId1"/></Relationships>
</file>

<file path=xl/worksheets/_rels/sheet33.xml.rels><Relationships xmlns="http://schemas.openxmlformats.org/package/2006/relationships"><Relationship Type="http://schemas.openxmlformats.org/officeDocument/2006/relationships/hyperlink" Target="#'Reporte de ejecuci&#243;n - Entrega2'!A94" TargetMode="External" Id="rId1"/></Relationships>
</file>

<file path=xl/worksheets/_rels/sheet34.xml.rels><Relationships xmlns="http://schemas.openxmlformats.org/package/2006/relationships"><Relationship Type="http://schemas.openxmlformats.org/officeDocument/2006/relationships/hyperlink" Target="#'Reporte de ejecuci&#243;n - Entrega2'!A95" TargetMode="External" Id="rId1"/></Relationships>
</file>

<file path=xl/worksheets/_rels/sheet35.xml.rels><Relationships xmlns="http://schemas.openxmlformats.org/package/2006/relationships"><Relationship Type="http://schemas.openxmlformats.org/officeDocument/2006/relationships/hyperlink" Target="#'Reporte de ejecuci&#243;n - Entrega2'!A96" TargetMode="External" Id="rId1"/></Relationships>
</file>

<file path=xl/worksheets/_rels/sheet36.xml.rels><Relationships xmlns="http://schemas.openxmlformats.org/package/2006/relationships"><Relationship Type="http://schemas.openxmlformats.org/officeDocument/2006/relationships/hyperlink" Target="#'Reporte de ejecuci&#243;n - Entrega2'!A97" TargetMode="External" Id="rId1"/></Relationships>
</file>

<file path=xl/worksheets/_rels/sheet37.xml.rels><Relationships xmlns="http://schemas.openxmlformats.org/package/2006/relationships"><Relationship Type="http://schemas.openxmlformats.org/officeDocument/2006/relationships/hyperlink" Target="#'Reporte de ejecuci&#243;n - Entrega2'!A98" TargetMode="External" Id="rId1"/></Relationships>
</file>

<file path=xl/worksheets/_rels/sheet38.xml.rels><Relationships xmlns="http://schemas.openxmlformats.org/package/2006/relationships"><Relationship Type="http://schemas.openxmlformats.org/officeDocument/2006/relationships/hyperlink" Target="#'Reporte de ejecuci&#243;n - Entrega2'!A99" TargetMode="External" Id="rId1"/></Relationships>
</file>

<file path=xl/worksheets/_rels/sheet39.xml.rels><Relationships xmlns="http://schemas.openxmlformats.org/package/2006/relationships"><Relationship Type="http://schemas.openxmlformats.org/officeDocument/2006/relationships/hyperlink" Target="#'Reporte de ejecuci&#243;n - Entrega2'!A100" TargetMode="External" Id="rId1"/></Relationships>
</file>

<file path=xl/worksheets/_rels/sheet40.xml.rels><Relationships xmlns="http://schemas.openxmlformats.org/package/2006/relationships"><Relationship Type="http://schemas.openxmlformats.org/officeDocument/2006/relationships/hyperlink" Target="#'Reporte de ejecuci&#243;n - Entrega2'!A4" TargetMode="External" Id="rId1"/></Relationships>
</file>

<file path=xl/worksheets/_rels/sheet41.xml.rels><Relationships xmlns="http://schemas.openxmlformats.org/package/2006/relationships"><Relationship Type="http://schemas.openxmlformats.org/officeDocument/2006/relationships/hyperlink" Target="#'Reporte de ejecuci&#243;n - Entrega2'!A5" TargetMode="External" Id="rId1"/></Relationships>
</file>

<file path=xl/worksheets/_rels/sheet42.xml.rels><Relationships xmlns="http://schemas.openxmlformats.org/package/2006/relationships"><Relationship Type="http://schemas.openxmlformats.org/officeDocument/2006/relationships/hyperlink" Target="#'Reporte de ejecuci&#243;n - Entrega2'!A6" TargetMode="External" Id="rId1"/></Relationships>
</file>

<file path=xl/worksheets/_rels/sheet43.xml.rels><Relationships xmlns="http://schemas.openxmlformats.org/package/2006/relationships"><Relationship Type="http://schemas.openxmlformats.org/officeDocument/2006/relationships/hyperlink" Target="#'Reporte de ejecuci&#243;n - Entrega2'!A8" TargetMode="External" Id="rId1"/></Relationships>
</file>

<file path=xl/worksheets/_rels/sheet44.xml.rels><Relationships xmlns="http://schemas.openxmlformats.org/package/2006/relationships"><Relationship Type="http://schemas.openxmlformats.org/officeDocument/2006/relationships/hyperlink" Target="#'Reporte de ejecuci&#243;n - Entrega2'!A9" TargetMode="External" Id="rId1"/></Relationships>
</file>

<file path=xl/worksheets/_rels/sheet45.xml.rels><Relationships xmlns="http://schemas.openxmlformats.org/package/2006/relationships"><Relationship Type="http://schemas.openxmlformats.org/officeDocument/2006/relationships/hyperlink" Target="#'Reporte de ejecuci&#243;n - Entrega2'!A10" TargetMode="External" Id="rId1"/></Relationships>
</file>

<file path=xl/worksheets/_rels/sheet46.xml.rels><Relationships xmlns="http://schemas.openxmlformats.org/package/2006/relationships"><Relationship Type="http://schemas.openxmlformats.org/officeDocument/2006/relationships/hyperlink" Target="#'Reporte de ejecuci&#243;n - Entrega2'!A11" TargetMode="External" Id="rId1"/></Relationships>
</file>

<file path=xl/worksheets/_rels/sheet47.xml.rels><Relationships xmlns="http://schemas.openxmlformats.org/package/2006/relationships"><Relationship Type="http://schemas.openxmlformats.org/officeDocument/2006/relationships/hyperlink" Target="#'Reporte de ejecuci&#243;n - Entrega2'!A12" TargetMode="External" Id="rId1"/></Relationships>
</file>

<file path=xl/worksheets/_rels/sheet48.xml.rels><Relationships xmlns="http://schemas.openxmlformats.org/package/2006/relationships"><Relationship Type="http://schemas.openxmlformats.org/officeDocument/2006/relationships/hyperlink" Target="#'Reporte de ejecuci&#243;n - Entrega2'!A13" TargetMode="External" Id="rId1"/></Relationships>
</file>

<file path=xl/worksheets/_rels/sheet49.xml.rels><Relationships xmlns="http://schemas.openxmlformats.org/package/2006/relationships"><Relationship Type="http://schemas.openxmlformats.org/officeDocument/2006/relationships/hyperlink" Target="#'Reporte de ejecuci&#243;n - Entrega2'!A14" TargetMode="External" Id="rId1"/></Relationships>
</file>

<file path=xl/worksheets/_rels/sheet50.xml.rels><Relationships xmlns="http://schemas.openxmlformats.org/package/2006/relationships"><Relationship Type="http://schemas.openxmlformats.org/officeDocument/2006/relationships/hyperlink" Target="#'Reporte de ejecuci&#243;n - Entrega2'!A16" TargetMode="External" Id="rId1"/></Relationships>
</file>

<file path=xl/worksheets/_rels/sheet51.xml.rels><Relationships xmlns="http://schemas.openxmlformats.org/package/2006/relationships"><Relationship Type="http://schemas.openxmlformats.org/officeDocument/2006/relationships/hyperlink" Target="#'Reporte de ejecuci&#243;n - Entrega2'!A17" TargetMode="External" Id="rId1"/></Relationships>
</file>

<file path=xl/worksheets/_rels/sheet52.xml.rels><Relationships xmlns="http://schemas.openxmlformats.org/package/2006/relationships"><Relationship Type="http://schemas.openxmlformats.org/officeDocument/2006/relationships/hyperlink" Target="#'Reporte de ejecuci&#243;n - Entrega2'!A18" TargetMode="External" Id="rId1"/></Relationships>
</file>

<file path=xl/worksheets/_rels/sheet53.xml.rels><Relationships xmlns="http://schemas.openxmlformats.org/package/2006/relationships"><Relationship Type="http://schemas.openxmlformats.org/officeDocument/2006/relationships/hyperlink" Target="#'Reporte de ejecuci&#243;n - Entrega2'!A21" TargetMode="External" Id="rId1"/></Relationships>
</file>

<file path=xl/worksheets/_rels/sheet54.xml.rels><Relationships xmlns="http://schemas.openxmlformats.org/package/2006/relationships"><Relationship Type="http://schemas.openxmlformats.org/officeDocument/2006/relationships/hyperlink" Target="#'Reporte de ejecuci&#243;n - Entrega2'!A23" TargetMode="External" Id="rId1"/></Relationships>
</file>

<file path=xl/worksheets/_rels/sheet55.xml.rels><Relationships xmlns="http://schemas.openxmlformats.org/package/2006/relationships"><Relationship Type="http://schemas.openxmlformats.org/officeDocument/2006/relationships/hyperlink" Target="#'Reporte de ejecuci&#243;n - Entrega2'!A24" TargetMode="External" Id="rId1"/></Relationships>
</file>

<file path=xl/worksheets/_rels/sheet56.xml.rels><Relationships xmlns="http://schemas.openxmlformats.org/package/2006/relationships"><Relationship Type="http://schemas.openxmlformats.org/officeDocument/2006/relationships/hyperlink" Target="#'Reporte de ejecuci&#243;n - Entrega2'!A25" TargetMode="External" Id="rId1"/></Relationships>
</file>

<file path=xl/worksheets/_rels/sheet57.xml.rels><Relationships xmlns="http://schemas.openxmlformats.org/package/2006/relationships"><Relationship Type="http://schemas.openxmlformats.org/officeDocument/2006/relationships/hyperlink" Target="#'Reporte de ejecuci&#243;n - Entrega2'!A27" TargetMode="External" Id="rId1"/></Relationships>
</file>

<file path=xl/worksheets/_rels/sheet58.xml.rels><Relationships xmlns="http://schemas.openxmlformats.org/package/2006/relationships"><Relationship Type="http://schemas.openxmlformats.org/officeDocument/2006/relationships/hyperlink" Target="#'Reporte de ejecuci&#243;n - Entrega2'!A28" TargetMode="External" Id="rId1"/></Relationships>
</file>

<file path=xl/worksheets/_rels/sheet59.xml.rels><Relationships xmlns="http://schemas.openxmlformats.org/package/2006/relationships"><Relationship Type="http://schemas.openxmlformats.org/officeDocument/2006/relationships/hyperlink" Target="#'Reporte de ejecuci&#243;n - Entrega2'!A29" TargetMode="External" Id="rId1"/></Relationships>
</file>

<file path=xl/worksheets/_rels/sheet60.xml.rels><Relationships xmlns="http://schemas.openxmlformats.org/package/2006/relationships"><Relationship Type="http://schemas.openxmlformats.org/officeDocument/2006/relationships/hyperlink" Target="#'Reporte de ejecuci&#243;n - Entrega2'!A31" TargetMode="External" Id="rId1"/></Relationships>
</file>

<file path=xl/worksheets/_rels/sheet61.xml.rels><Relationships xmlns="http://schemas.openxmlformats.org/package/2006/relationships"><Relationship Type="http://schemas.openxmlformats.org/officeDocument/2006/relationships/hyperlink" Target="#'Reporte de ejecuci&#243;n - Entrega2'!A32" TargetMode="External" Id="rId1"/></Relationships>
</file>

<file path=xl/worksheets/_rels/sheet62.xml.rels><Relationships xmlns="http://schemas.openxmlformats.org/package/2006/relationships"><Relationship Type="http://schemas.openxmlformats.org/officeDocument/2006/relationships/hyperlink" Target="#'Reporte de ejecuci&#243;n - Entrega2'!A33" TargetMode="External" Id="rId1"/></Relationships>
</file>

<file path=xl/worksheets/_rels/sheet63.xml.rels><Relationships xmlns="http://schemas.openxmlformats.org/package/2006/relationships"><Relationship Type="http://schemas.openxmlformats.org/officeDocument/2006/relationships/hyperlink" Target="#'Reporte de ejecuci&#243;n - Entrega2'!A34" TargetMode="External" Id="rId1"/></Relationships>
</file>

<file path=xl/worksheets/_rels/sheet64.xml.rels><Relationships xmlns="http://schemas.openxmlformats.org/package/2006/relationships"><Relationship Type="http://schemas.openxmlformats.org/officeDocument/2006/relationships/hyperlink" Target="#'Reporte de ejecuci&#243;n - Entrega2'!A35" TargetMode="External" Id="rId1"/></Relationships>
</file>

<file path=xl/worksheets/_rels/sheet65.xml.rels><Relationships xmlns="http://schemas.openxmlformats.org/package/2006/relationships"><Relationship Type="http://schemas.openxmlformats.org/officeDocument/2006/relationships/hyperlink" Target="#'Reporte de ejecuci&#243;n - Entrega2'!A36" TargetMode="External" Id="rId1"/></Relationships>
</file>

<file path=xl/worksheets/_rels/sheet66.xml.rels><Relationships xmlns="http://schemas.openxmlformats.org/package/2006/relationships"><Relationship Type="http://schemas.openxmlformats.org/officeDocument/2006/relationships/hyperlink" Target="#'Reporte de ejecuci&#243;n - Entrega2'!A37" TargetMode="External" Id="rId1"/></Relationships>
</file>

<file path=xl/worksheets/_rels/sheet67.xml.rels><Relationships xmlns="http://schemas.openxmlformats.org/package/2006/relationships"><Relationship Type="http://schemas.openxmlformats.org/officeDocument/2006/relationships/hyperlink" Target="#'Reporte de ejecuci&#243;n - Entrega2'!A38" TargetMode="External" Id="rId1"/></Relationships>
</file>

<file path=xl/worksheets/_rels/sheet68.xml.rels><Relationships xmlns="http://schemas.openxmlformats.org/package/2006/relationships"><Relationship Type="http://schemas.openxmlformats.org/officeDocument/2006/relationships/hyperlink" Target="#'Reporte de ejecuci&#243;n - Entrega2'!A40" TargetMode="External" Id="rId1"/></Relationships>
</file>

<file path=xl/worksheets/_rels/sheet69.xml.rels><Relationships xmlns="http://schemas.openxmlformats.org/package/2006/relationships"><Relationship Type="http://schemas.openxmlformats.org/officeDocument/2006/relationships/hyperlink" Target="#'Reporte de ejecuci&#243;n - Entrega2'!A41" TargetMode="External" Id="rId1"/></Relationships>
</file>

<file path=xl/worksheets/_rels/sheet70.xml.rels><Relationships xmlns="http://schemas.openxmlformats.org/package/2006/relationships"><Relationship Type="http://schemas.openxmlformats.org/officeDocument/2006/relationships/hyperlink" Target="#'Reporte de ejecuci&#243;n - Entrega2'!A42" TargetMode="External" Id="rId1"/></Relationships>
</file>

<file path=xl/worksheets/_rels/sheet71.xml.rels><Relationships xmlns="http://schemas.openxmlformats.org/package/2006/relationships"><Relationship Type="http://schemas.openxmlformats.org/officeDocument/2006/relationships/hyperlink" Target="#'Reporte de ejecuci&#243;n - Entrega2'!A44" TargetMode="External" Id="rId1"/></Relationships>
</file>

<file path=xl/worksheets/_rels/sheet72.xml.rels><Relationships xmlns="http://schemas.openxmlformats.org/package/2006/relationships"><Relationship Type="http://schemas.openxmlformats.org/officeDocument/2006/relationships/hyperlink" Target="#'Reporte de ejecuci&#243;n - Entrega2'!A45" TargetMode="External" Id="rId1"/></Relationships>
</file>

<file path=xl/worksheets/_rels/sheet73.xml.rels><Relationships xmlns="http://schemas.openxmlformats.org/package/2006/relationships"><Relationship Type="http://schemas.openxmlformats.org/officeDocument/2006/relationships/hyperlink" Target="#'Reporte de ejecuci&#243;n - Entrega2'!A46" TargetMode="External" Id="rId1"/></Relationships>
</file>

<file path=xl/worksheets/_rels/sheet74.xml.rels><Relationships xmlns="http://schemas.openxmlformats.org/package/2006/relationships"><Relationship Type="http://schemas.openxmlformats.org/officeDocument/2006/relationships/hyperlink" Target="#'Reporte de ejecuci&#243;n - Entrega2'!A48" TargetMode="External" Id="rId1"/></Relationships>
</file>

<file path=xl/worksheets/_rels/sheet75.xml.rels><Relationships xmlns="http://schemas.openxmlformats.org/package/2006/relationships"><Relationship Type="http://schemas.openxmlformats.org/officeDocument/2006/relationships/hyperlink" Target="#'Reporte de ejecuci&#243;n - Entrega2'!A49" TargetMode="External" Id="rId1"/></Relationships>
</file>

<file path=xl/worksheets/_rels/sheet76.xml.rels><Relationships xmlns="http://schemas.openxmlformats.org/package/2006/relationships"><Relationship Type="http://schemas.openxmlformats.org/officeDocument/2006/relationships/hyperlink" Target="#'Reporte de ejecuci&#243;n - Entrega2'!A50" TargetMode="External" Id="rId1"/></Relationships>
</file>

<file path=xl/worksheets/_rels/sheet77.xml.rels><Relationships xmlns="http://schemas.openxmlformats.org/package/2006/relationships"><Relationship Type="http://schemas.openxmlformats.org/officeDocument/2006/relationships/hyperlink" Target="#'Reporte de ejecuci&#243;n - Entrega2'!A52" TargetMode="External" Id="rId1"/></Relationships>
</file>

<file path=xl/worksheets/_rels/sheet78.xml.rels><Relationships xmlns="http://schemas.openxmlformats.org/package/2006/relationships"><Relationship Type="http://schemas.openxmlformats.org/officeDocument/2006/relationships/hyperlink" Target="#'Reporte de ejecuci&#243;n - Entrega2'!A53" TargetMode="External" Id="rId1"/></Relationships>
</file>

<file path=xl/worksheets/_rels/sheet79.xml.rels><Relationships xmlns="http://schemas.openxmlformats.org/package/2006/relationships"><Relationship Type="http://schemas.openxmlformats.org/officeDocument/2006/relationships/hyperlink" Target="#'Reporte de ejecuci&#243;n - Entrega2'!A7" TargetMode="External" Id="rId1"/></Relationships>
</file>

<file path=xl/worksheets/_rels/sheet80.xml.rels><Relationships xmlns="http://schemas.openxmlformats.org/package/2006/relationships"><Relationship Type="http://schemas.openxmlformats.org/officeDocument/2006/relationships/hyperlink" Target="#'Reporte de ejecuci&#243;n - Entrega2'!A15" TargetMode="External" Id="rId1"/></Relationships>
</file>

<file path=xl/worksheets/_rels/sheet81.xml.rels><Relationships xmlns="http://schemas.openxmlformats.org/package/2006/relationships"><Relationship Type="http://schemas.openxmlformats.org/officeDocument/2006/relationships/hyperlink" Target="#'Reporte de ejecuci&#243;n - Entrega2'!A19" TargetMode="External" Id="rId1"/></Relationships>
</file>

<file path=xl/worksheets/_rels/sheet82.xml.rels><Relationships xmlns="http://schemas.openxmlformats.org/package/2006/relationships"><Relationship Type="http://schemas.openxmlformats.org/officeDocument/2006/relationships/hyperlink" Target="#'Reporte de ejecuci&#243;n - Entrega2'!A20" TargetMode="External" Id="rId1"/></Relationships>
</file>

<file path=xl/worksheets/_rels/sheet83.xml.rels><Relationships xmlns="http://schemas.openxmlformats.org/package/2006/relationships"><Relationship Type="http://schemas.openxmlformats.org/officeDocument/2006/relationships/hyperlink" Target="#'Reporte de ejecuci&#243;n - Entrega2'!A22" TargetMode="External" Id="rId1"/></Relationships>
</file>

<file path=xl/worksheets/_rels/sheet84.xml.rels><Relationships xmlns="http://schemas.openxmlformats.org/package/2006/relationships"><Relationship Type="http://schemas.openxmlformats.org/officeDocument/2006/relationships/hyperlink" Target="#'Reporte de ejecuci&#243;n - Entrega2'!A26" TargetMode="External" Id="rId1"/></Relationships>
</file>

<file path=xl/worksheets/_rels/sheet85.xml.rels><Relationships xmlns="http://schemas.openxmlformats.org/package/2006/relationships"><Relationship Type="http://schemas.openxmlformats.org/officeDocument/2006/relationships/hyperlink" Target="#'Reporte de ejecuci&#243;n - Entrega2'!A30" TargetMode="External" Id="rId1"/></Relationships>
</file>

<file path=xl/worksheets/_rels/sheet86.xml.rels><Relationships xmlns="http://schemas.openxmlformats.org/package/2006/relationships"><Relationship Type="http://schemas.openxmlformats.org/officeDocument/2006/relationships/hyperlink" Target="#'Reporte de ejecuci&#243;n - Entrega2'!A39" TargetMode="External" Id="rId1"/></Relationships>
</file>

<file path=xl/worksheets/_rels/sheet87.xml.rels><Relationships xmlns="http://schemas.openxmlformats.org/package/2006/relationships"><Relationship Type="http://schemas.openxmlformats.org/officeDocument/2006/relationships/hyperlink" Target="#'Reporte de ejecuci&#243;n - Entrega2'!A43" TargetMode="External" Id="rId1"/></Relationships>
</file>

<file path=xl/worksheets/_rels/sheet88.xml.rels><Relationships xmlns="http://schemas.openxmlformats.org/package/2006/relationships"><Relationship Type="http://schemas.openxmlformats.org/officeDocument/2006/relationships/hyperlink" Target="#'Reporte de ejecuci&#243;n - Entrega2'!A47" TargetMode="External" Id="rId1"/></Relationships>
</file>

<file path=xl/worksheets/_rels/sheet89.xml.rels><Relationships xmlns="http://schemas.openxmlformats.org/package/2006/relationships"><Relationship Type="http://schemas.openxmlformats.org/officeDocument/2006/relationships/hyperlink" Target="#'Reporte de ejecuci&#243;n - Entrega2'!A51" TargetMode="External" Id="rId1"/></Relationships>
</file>

<file path=xl/worksheets/_rels/sheet90.xml.rels><Relationships xmlns="http://schemas.openxmlformats.org/package/2006/relationships"><Relationship Type="http://schemas.openxmlformats.org/officeDocument/2006/relationships/hyperlink" Target="#'Reporte de ejecuci&#243;n - Entrega2'!A54" TargetMode="External" Id="rId1"/></Relationships>
</file>

<file path=xl/worksheets/_rels/sheet91.xml.rels><Relationships xmlns="http://schemas.openxmlformats.org/package/2006/relationships"><Relationship Type="http://schemas.openxmlformats.org/officeDocument/2006/relationships/hyperlink" Target="#'Reporte de ejecuci&#243;n - Entrega2'!A55" TargetMode="External" Id="rId1"/></Relationships>
</file>

<file path=xl/worksheets/_rels/sheet92.xml.rels><Relationships xmlns="http://schemas.openxmlformats.org/package/2006/relationships"><Relationship Type="http://schemas.openxmlformats.org/officeDocument/2006/relationships/hyperlink" Target="#'Reporte de ejecuci&#243;n - Entrega2'!A56" TargetMode="External" Id="rId1"/></Relationships>
</file>

<file path=xl/worksheets/_rels/sheet93.xml.rels><Relationships xmlns="http://schemas.openxmlformats.org/package/2006/relationships"><Relationship Type="http://schemas.openxmlformats.org/officeDocument/2006/relationships/hyperlink" Target="#'Reporte de ejecuci&#243;n - Entrega2'!A57" TargetMode="External" Id="rId1"/></Relationships>
</file>

<file path=xl/worksheets/_rels/sheet94.xml.rels><Relationships xmlns="http://schemas.openxmlformats.org/package/2006/relationships"><Relationship Type="http://schemas.openxmlformats.org/officeDocument/2006/relationships/hyperlink" Target="#'Reporte de ejecuci&#243;n - Entrega2'!A58" TargetMode="External" Id="rId1"/></Relationships>
</file>

<file path=xl/worksheets/_rels/sheet95.xml.rels><Relationships xmlns="http://schemas.openxmlformats.org/package/2006/relationships"><Relationship Type="http://schemas.openxmlformats.org/officeDocument/2006/relationships/hyperlink" Target="#'Reporte de ejecuci&#243;n - Entrega2'!A59" TargetMode="External" Id="rId1"/></Relationships>
</file>

<file path=xl/worksheets/_rels/sheet96.xml.rels><Relationships xmlns="http://schemas.openxmlformats.org/package/2006/relationships"><Relationship Type="http://schemas.openxmlformats.org/officeDocument/2006/relationships/hyperlink" Target="#'Reporte de ejecuci&#243;n - Entrega2'!A60" TargetMode="External" Id="rId1"/></Relationships>
</file>

<file path=xl/worksheets/_rels/sheet97.xml.rels><Relationships xmlns="http://schemas.openxmlformats.org/package/2006/relationships"><Relationship Type="http://schemas.openxmlformats.org/officeDocument/2006/relationships/hyperlink" Target="#'Reporte de ejecuci&#243;n - Entrega2'!A61" TargetMode="External" Id="rId1"/></Relationships>
</file>

<file path=xl/worksheets/_rels/sheet98.xml.rels><Relationships xmlns="http://schemas.openxmlformats.org/package/2006/relationships"><Relationship Type="http://schemas.openxmlformats.org/officeDocument/2006/relationships/hyperlink" Target="#'Reporte de ejecuci&#243;n - Entrega2'!A62" TargetMode="External" Id="rId1"/></Relationships>
</file>

<file path=xl/worksheets/_rels/sheet99.xml.rels><Relationships xmlns="http://schemas.openxmlformats.org/package/2006/relationships"><Relationship Type="http://schemas.openxmlformats.org/officeDocument/2006/relationships/hyperlink" Target="#'Reporte de ejecuci&#243;n - Entrega2'!A63" TargetMode="External" Id="rId1"/></Relationships>
</file>

<file path=xl/worksheets/_rels/sheet100.xml.rels><Relationships xmlns="http://schemas.openxmlformats.org/package/2006/relationships"><Relationship Type="http://schemas.openxmlformats.org/officeDocument/2006/relationships/hyperlink" Target="#'Reporte de ejecuci&#243;n - Entrega2'!A64" TargetMode="External" Id="rId1"/></Relationships>
</file>

<file path=xl/worksheets/_rels/sheet101.xml.rels><Relationships xmlns="http://schemas.openxmlformats.org/package/2006/relationships"><Relationship Type="http://schemas.openxmlformats.org/officeDocument/2006/relationships/hyperlink" Target="#'Reporte de ejecuci&#243;n - Entrega2'!A65" TargetMode="External" Id="rId1"/></Relationships>
</file>

<file path=xl/worksheets/sheet1.xml><?xml version="1.0" encoding="utf-8"?>
<worksheet xmlns="http://schemas.openxmlformats.org/spreadsheetml/2006/main">
  <sheetPr>
    <tabColor rgb="004472C4"/>
    <outlinePr summaryBelow="1" summaryRight="1"/>
    <pageSetUpPr fitToPage="1"/>
  </sheetPr>
  <dimension ref="A1:V1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7" customWidth="1" min="3" max="3"/>
    <col width="9" customWidth="1" min="4" max="4"/>
    <col width="44" customWidth="1" min="5" max="5"/>
    <col width="10" customWidth="1" min="6" max="6"/>
    <col width="8" customWidth="1" min="7" max="7"/>
    <col width="12" customWidth="1" min="8" max="8"/>
    <col width="12" customWidth="1" min="9" max="9"/>
    <col width="9" customWidth="1" min="10" max="10"/>
    <col width="10" customWidth="1" min="11" max="11"/>
    <col width="11" customWidth="1" min="12" max="12"/>
    <col width="10" customWidth="1" min="13" max="13"/>
    <col width="70" customWidth="1" min="14" max="14"/>
    <col width="3" customWidth="1" min="15" max="15"/>
    <col width="52" customWidth="1" min="16" max="16"/>
    <col width="12" customWidth="1" min="17" max="17"/>
    <col width="11" customWidth="1" min="18" max="18"/>
    <col width="11" customWidth="1" min="19" max="19"/>
    <col width="11" customWidth="1" min="20" max="20"/>
    <col width="11" customWidth="1" min="21" max="21"/>
    <col width="13" customWidth="1" min="22" max="22"/>
  </cols>
  <sheetData>
    <row r="1" ht="24" customHeight="1">
      <c r="A1" s="1" t="inlineStr">
        <is>
          <t>GhostMan - Entrega 2 - Reporte de ejecución de casos de prueba (V2, ciclo 2)</t>
        </is>
      </c>
    </row>
    <row r="2" ht="30" customHeight="1">
      <c r="A2" s="2" t="inlineStr">
        <is>
          <t>Casos nuevos de la V2, regresión de la V1 (35 casos de prioridad Alta, mutados) y pruebas de confirmación de defectos. Estados según la sección 12.2: Aprobado, Fallido, Bloqueado, No ejecutado, No aplica. «Estado Entrega 1» viene del reporte de la Entrega 1; «¿Cambió?» compara los dos ciclos. El ID de cada caso abre su hoja de detalle.</t>
        </is>
      </c>
    </row>
    <row r="3" ht="30" customHeight="1">
      <c r="A3" s="3" t="inlineStr">
        <is>
          <t>Test case ID</t>
        </is>
      </c>
      <c r="B3" s="3" t="inlineStr">
        <is>
          <t>Tipo de prueba</t>
        </is>
      </c>
      <c r="C3" s="3" t="inlineStr">
        <is>
          <t>Épica</t>
        </is>
      </c>
      <c r="D3" s="3" t="inlineStr">
        <is>
          <t>Prioridad</t>
        </is>
      </c>
      <c r="E3" s="3" t="inlineStr">
        <is>
          <t>Título</t>
        </is>
      </c>
      <c r="F3" s="3" t="inlineStr">
        <is>
          <t>Historia de usuario</t>
        </is>
      </c>
      <c r="G3" s="3" t="inlineStr">
        <is>
          <t>Camino feliz</t>
        </is>
      </c>
      <c r="H3" s="3" t="inlineStr">
        <is>
          <t>Estado Entrega 1</t>
        </is>
      </c>
      <c r="I3" s="3" t="inlineStr">
        <is>
          <t>Estado Entrega 2</t>
        </is>
      </c>
      <c r="J3" s="3" t="inlineStr">
        <is>
          <t>¿Cambió?</t>
        </is>
      </c>
      <c r="K3" s="3" t="inlineStr">
        <is>
          <t>Ejecutor</t>
        </is>
      </c>
      <c r="L3" s="3" t="inlineStr">
        <is>
          <t>Fecha</t>
        </is>
      </c>
      <c r="M3" s="3" t="inlineStr">
        <is>
          <t>Defectos</t>
        </is>
      </c>
      <c r="N3" s="3" t="inlineStr">
        <is>
          <t>Observaciones</t>
        </is>
      </c>
      <c r="P3" s="4" t="inlineStr">
        <is>
          <t>Identificación del ciclo (sección 12.1)</t>
        </is>
      </c>
      <c r="Q3" s="5" t="n"/>
      <c r="R3" s="5" t="n"/>
      <c r="S3" s="5" t="n"/>
    </row>
    <row r="4" ht="16.2" customHeight="1">
      <c r="A4" s="6" t="inlineStr">
        <is>
          <t>CP-067</t>
        </is>
      </c>
      <c r="B4" s="7" t="inlineStr">
        <is>
          <t>Nuevo (V2)</t>
        </is>
      </c>
      <c r="C4" s="8" t="inlineStr">
        <is>
          <t>E6</t>
        </is>
      </c>
      <c r="D4" s="9" t="inlineStr">
        <is>
          <t>Alta</t>
        </is>
      </c>
      <c r="E4" s="7" t="inlineStr">
        <is>
          <t>Selección del modo Pacman</t>
        </is>
      </c>
      <c r="F4" s="8" t="inlineStr">
        <is>
          <t>HU-22</t>
        </is>
      </c>
      <c r="G4" s="8" t="inlineStr">
        <is>
          <t>Sí</t>
        </is>
      </c>
      <c r="H4" s="8" t="inlineStr">
        <is>
          <t>—</t>
        </is>
      </c>
      <c r="I4" s="10" t="inlineStr">
        <is>
          <t>Aprobado</t>
        </is>
      </c>
      <c r="J4" s="8">
        <f>IF(OR(H4="—",I4=""),"—",IF(H4=I4,"No","Sí"))</f>
        <v/>
      </c>
      <c r="K4" s="11" t="inlineStr">
        <is>
          <t>Luzzi</t>
        </is>
      </c>
      <c r="L4" s="12" t="n">
        <v>46307</v>
      </c>
      <c r="M4" s="11" t="n"/>
      <c r="N4" s="11" t="inlineStr">
        <is>
          <t>Menú con «Modo PacMan» (seleccionada) y «Modo GhostMan». Enter inicia el modo Pacman en el nivel 1; ← mueve a Pacman; 3 íconos de Pacman en la barra inferior.</t>
        </is>
      </c>
      <c r="P4" s="13" t="inlineStr">
        <is>
          <t>Ciclo de ejecución</t>
        </is>
      </c>
      <c r="Q4" s="11" t="inlineStr">
        <is>
          <t>Nº 2 (primer ciclo de la V2)</t>
        </is>
      </c>
      <c r="R4" s="14" t="n"/>
      <c r="S4" s="14" t="n"/>
      <c r="T4" s="14" t="n"/>
      <c r="U4" s="14" t="n"/>
      <c r="V4" s="14" t="n"/>
    </row>
    <row r="5" ht="16.2" customHeight="1">
      <c r="A5" s="6" t="inlineStr">
        <is>
          <t>CP-068</t>
        </is>
      </c>
      <c r="B5" s="7" t="inlineStr">
        <is>
          <t>Nuevo (V2)</t>
        </is>
      </c>
      <c r="C5" s="8" t="inlineStr">
        <is>
          <t>E6</t>
        </is>
      </c>
      <c r="D5" s="9" t="inlineStr">
        <is>
          <t>Alta</t>
        </is>
      </c>
      <c r="E5" s="7" t="inlineStr">
        <is>
          <t>Selección del modo GhostMan</t>
        </is>
      </c>
      <c r="F5" s="8" t="inlineStr">
        <is>
          <t>HU-22</t>
        </is>
      </c>
      <c r="G5" s="8" t="inlineStr">
        <is>
          <t>Sí</t>
        </is>
      </c>
      <c r="H5" s="8" t="inlineStr">
        <is>
          <t>—</t>
        </is>
      </c>
      <c r="I5" s="10" t="inlineStr">
        <is>
          <t>Aprobado</t>
        </is>
      </c>
      <c r="J5" s="8">
        <f>IF(OR(H5="—",I5=""),"—",IF(H5=I5,"No","Sí"))</f>
        <v/>
      </c>
      <c r="K5" s="11" t="inlineStr">
        <is>
          <t>Luzzi</t>
        </is>
      </c>
      <c r="L5" s="12" t="n">
        <v>46307</v>
      </c>
      <c r="M5" s="11" t="n"/>
      <c r="N5" s="11" t="inlineStr">
        <is>
          <t>↓ selecciona «Modo GhostMan»; Enter abre el carrusel con «Clásico» en el centro.</t>
        </is>
      </c>
      <c r="P5" s="13" t="inlineStr">
        <is>
          <t>Versión bajo prueba</t>
        </is>
      </c>
      <c r="Q5" s="11" t="inlineStr">
        <is>
          <t>V2</t>
        </is>
      </c>
      <c r="R5" s="14" t="n"/>
      <c r="S5" s="14" t="n"/>
      <c r="T5" s="14" t="n"/>
      <c r="U5" s="14" t="n"/>
      <c r="V5" s="14" t="n"/>
    </row>
    <row r="6" ht="16.2" customHeight="1">
      <c r="A6" s="6" t="inlineStr">
        <is>
          <t>CP-069</t>
        </is>
      </c>
      <c r="B6" s="7" t="inlineStr">
        <is>
          <t>Nuevo (V2)</t>
        </is>
      </c>
      <c r="C6" s="8" t="inlineStr">
        <is>
          <t>E6</t>
        </is>
      </c>
      <c r="D6" s="9" t="inlineStr">
        <is>
          <t>Media</t>
        </is>
      </c>
      <c r="E6" s="7" t="inlineStr">
        <is>
          <t>Ícono de vidas según el modo</t>
        </is>
      </c>
      <c r="F6" s="8" t="inlineStr">
        <is>
          <t>HU-22</t>
        </is>
      </c>
      <c r="G6" s="8" t="inlineStr">
        <is>
          <t>No</t>
        </is>
      </c>
      <c r="H6" s="8" t="inlineStr">
        <is>
          <t>—</t>
        </is>
      </c>
      <c r="I6" s="10" t="inlineStr">
        <is>
          <t>Aprobado</t>
        </is>
      </c>
      <c r="J6" s="8">
        <f>IF(OR(H6="—",I6=""),"—",IF(H6=I6,"No","Sí"))</f>
        <v/>
      </c>
      <c r="K6" s="11" t="inlineStr">
        <is>
          <t>Luzzi</t>
        </is>
      </c>
      <c r="L6" s="12" t="n">
        <v>46307</v>
      </c>
      <c r="M6" s="11" t="n"/>
      <c r="N6" s="11" t="inlineStr">
        <is>
          <t>Modo Pacman: barra «Vidas» con 3 íconos de Pacman. Modo GhostMan: «Vidas de Pacman» con 3 íconos de fantasma.</t>
        </is>
      </c>
      <c r="P6" s="13" t="inlineStr">
        <is>
          <t>Commit</t>
        </is>
      </c>
      <c r="Q6" s="11" t="inlineStr">
        <is>
          <t>7ec70df (Corregir DEF-001, rama main)</t>
        </is>
      </c>
      <c r="R6" s="14" t="n"/>
      <c r="S6" s="14" t="n"/>
      <c r="T6" s="14" t="n"/>
      <c r="U6" s="14" t="n"/>
      <c r="V6" s="14" t="n"/>
    </row>
    <row r="7" ht="69" customHeight="1">
      <c r="A7" s="6" t="inlineStr">
        <is>
          <t>CP-141</t>
        </is>
      </c>
      <c r="B7" s="7" t="inlineStr">
        <is>
          <t>Nuevo (V2)</t>
        </is>
      </c>
      <c r="C7" s="8" t="inlineStr">
        <is>
          <t>E6</t>
        </is>
      </c>
      <c r="D7" s="9" t="inlineStr">
        <is>
          <t>Media</t>
        </is>
      </c>
      <c r="E7" s="7" t="inlineStr">
        <is>
          <t>El modo no cambia durante la partida</t>
        </is>
      </c>
      <c r="F7" s="8" t="inlineStr">
        <is>
          <t>HU-22</t>
        </is>
      </c>
      <c r="G7" s="8" t="inlineStr">
        <is>
          <t>No</t>
        </is>
      </c>
      <c r="H7" s="8" t="inlineStr">
        <is>
          <t>—</t>
        </is>
      </c>
      <c r="I7" s="10" t="inlineStr">
        <is>
          <t>Aprobado</t>
        </is>
      </c>
      <c r="J7" s="8">
        <f>IF(OR(H7="—",I7=""),"—",IF(H7=I7,"No","Sí"))</f>
        <v/>
      </c>
      <c r="K7" s="11" t="inlineStr">
        <is>
          <t>Luzzi</t>
        </is>
      </c>
      <c r="L7" s="12" t="n">
        <v>46307</v>
      </c>
      <c r="M7" s="11" t="n"/>
      <c r="N7" s="11" t="inlineStr">
        <is>
          <t>Durante 5 s con ↑ ↓ W S Enter no aparece el menú ni el carrusel; tras pausar y reanudar la partida sigue en modo GhostMan con el Clásico.</t>
        </is>
      </c>
      <c r="P7" s="13" t="inlineStr">
        <is>
          <t>Entorno</t>
        </is>
      </c>
      <c r="Q7" s="11" t="inlineStr">
        <is>
          <t>Build de producción local del commit 7ec70df (next build + next start), con una línea agregada solo para la prueba que expone el estado del juego al script (window.__gm, no se commitea) y sin la fuente de Google. Completar la URL de Vercel cuando se despliegue y repetir una muestra de casos ahí.</t>
        </is>
      </c>
      <c r="R7" s="14" t="n"/>
      <c r="S7" s="14" t="n"/>
      <c r="T7" s="14" t="n"/>
      <c r="U7" s="14" t="n"/>
      <c r="V7" s="14" t="n"/>
    </row>
    <row r="8" ht="16.2" customHeight="1">
      <c r="A8" s="6" t="inlineStr">
        <is>
          <t>CP-070</t>
        </is>
      </c>
      <c r="B8" s="7" t="inlineStr">
        <is>
          <t>Nuevo (V2)</t>
        </is>
      </c>
      <c r="C8" s="8" t="inlineStr">
        <is>
          <t>E6</t>
        </is>
      </c>
      <c r="D8" s="9" t="inlineStr">
        <is>
          <t>Alta</t>
        </is>
      </c>
      <c r="E8" s="7" t="inlineStr">
        <is>
          <t>Contenido del carrusel de fantasmas</t>
        </is>
      </c>
      <c r="F8" s="8" t="inlineStr">
        <is>
          <t>HU-23</t>
        </is>
      </c>
      <c r="G8" s="8" t="inlineStr">
        <is>
          <t>Sí</t>
        </is>
      </c>
      <c r="H8" s="8" t="inlineStr">
        <is>
          <t>—</t>
        </is>
      </c>
      <c r="I8" s="10" t="inlineStr">
        <is>
          <t>Aprobado</t>
        </is>
      </c>
      <c r="J8" s="8">
        <f>IF(OR(H8="—",I8=""),"—",IF(H8=I8,"No","Sí"))</f>
        <v/>
      </c>
      <c r="K8" s="11" t="inlineStr">
        <is>
          <t>Luzzi</t>
        </is>
      </c>
      <c r="L8" s="12" t="n">
        <v>46307</v>
      </c>
      <c r="M8" s="11" t="n"/>
      <c r="N8" s="11" t="inlineStr">
        <is>
          <t>Tipos en orden: Clásico, Espectro, Saltarín, Naval, Acelerado. Cada uno con su nombre debajo y la descripción del poder como subtítulo.</t>
        </is>
      </c>
      <c r="P8" s="13" t="inlineStr">
        <is>
          <t>Navegador y versión</t>
        </is>
      </c>
      <c r="Q8" s="11" t="inlineStr">
        <is>
          <t>Chromium 141 (Playwright), sin interfaz, ventana de 560 × 600</t>
        </is>
      </c>
      <c r="R8" s="14" t="n"/>
      <c r="S8" s="14" t="n"/>
      <c r="T8" s="14" t="n"/>
      <c r="U8" s="14" t="n"/>
      <c r="V8" s="14" t="n"/>
    </row>
    <row r="9" ht="16.2" customHeight="1">
      <c r="A9" s="6" t="inlineStr">
        <is>
          <t>CP-071</t>
        </is>
      </c>
      <c r="B9" s="7" t="inlineStr">
        <is>
          <t>Nuevo (V2)</t>
        </is>
      </c>
      <c r="C9" s="8" t="inlineStr">
        <is>
          <t>E6</t>
        </is>
      </c>
      <c r="D9" s="9" t="inlineStr">
        <is>
          <t>Media</t>
        </is>
      </c>
      <c r="E9" s="7" t="inlineStr">
        <is>
          <t>Navegación circular del carrusel</t>
        </is>
      </c>
      <c r="F9" s="8" t="inlineStr">
        <is>
          <t>HU-23</t>
        </is>
      </c>
      <c r="G9" s="8" t="inlineStr">
        <is>
          <t>No</t>
        </is>
      </c>
      <c r="H9" s="8" t="inlineStr">
        <is>
          <t>—</t>
        </is>
      </c>
      <c r="I9" s="10" t="inlineStr">
        <is>
          <t>Aprobado</t>
        </is>
      </c>
      <c r="J9" s="8">
        <f>IF(OR(H9="—",I9=""),"—",IF(H9=I9,"No","Sí"))</f>
        <v/>
      </c>
      <c r="K9" s="11" t="inlineStr">
        <is>
          <t>Luzzi</t>
        </is>
      </c>
      <c r="L9" s="12" t="n">
        <v>46307</v>
      </c>
      <c r="M9" s="11" t="n"/>
      <c r="N9" s="11" t="inlineStr">
        <is>
          <t>← → Acelerado; D → Clásico; A → Acelerado.</t>
        </is>
      </c>
      <c r="P9" s="13" t="inlineStr">
        <is>
          <t>Fecha de inicio</t>
        </is>
      </c>
      <c r="Q9" s="15" t="n">
        <v>46307</v>
      </c>
      <c r="R9" s="14" t="n"/>
      <c r="S9" s="14" t="n"/>
      <c r="T9" s="14" t="n"/>
      <c r="U9" s="14" t="n"/>
      <c r="V9" s="14" t="n"/>
    </row>
    <row r="10" ht="16.2" customHeight="1">
      <c r="A10" s="6" t="inlineStr">
        <is>
          <t>CP-072</t>
        </is>
      </c>
      <c r="B10" s="7" t="inlineStr">
        <is>
          <t>Nuevo (V2)</t>
        </is>
      </c>
      <c r="C10" s="8" t="inlineStr">
        <is>
          <t>E6</t>
        </is>
      </c>
      <c r="D10" s="9" t="inlineStr">
        <is>
          <t>Alta</t>
        </is>
      </c>
      <c r="E10" s="7" t="inlineStr">
        <is>
          <t>Confirmación con Enter</t>
        </is>
      </c>
      <c r="F10" s="8" t="inlineStr">
        <is>
          <t>HU-23</t>
        </is>
      </c>
      <c r="G10" s="8" t="inlineStr">
        <is>
          <t>Sí</t>
        </is>
      </c>
      <c r="H10" s="8" t="inlineStr">
        <is>
          <t>—</t>
        </is>
      </c>
      <c r="I10" s="10" t="inlineStr">
        <is>
          <t>Aprobado</t>
        </is>
      </c>
      <c r="J10" s="8">
        <f>IF(OR(H10="—",I10=""),"—",IF(H10=I10,"No","Sí"))</f>
        <v/>
      </c>
      <c r="K10" s="11" t="inlineStr">
        <is>
          <t>Luzzi</t>
        </is>
      </c>
      <c r="L10" s="12" t="n">
        <v>46307</v>
      </c>
      <c r="M10" s="11" t="n"/>
      <c r="N10" s="11" t="inlineStr">
        <is>
          <t>Enter con el Naval en el centro inicia el modo GhostMan con el Naval (velocidad 4 celdas/s) en la esquina superior izquierda.</t>
        </is>
      </c>
      <c r="P10" s="13" t="inlineStr">
        <is>
          <t>Fecha de cierre</t>
        </is>
      </c>
      <c r="Q10" s="15" t="n">
        <v>46307</v>
      </c>
      <c r="R10" s="14" t="n"/>
      <c r="S10" s="14" t="n"/>
      <c r="T10" s="14" t="n"/>
      <c r="U10" s="14" t="n"/>
      <c r="V10" s="14" t="n"/>
    </row>
    <row r="11" ht="16.2" customHeight="1">
      <c r="A11" s="6" t="inlineStr">
        <is>
          <t>CP-073</t>
        </is>
      </c>
      <c r="B11" s="7" t="inlineStr">
        <is>
          <t>Nuevo (V2)</t>
        </is>
      </c>
      <c r="C11" s="8" t="inlineStr">
        <is>
          <t>E6</t>
        </is>
      </c>
      <c r="D11" s="9" t="inlineStr">
        <is>
          <t>Alta</t>
        </is>
      </c>
      <c r="E11" s="7" t="inlineStr">
        <is>
          <t>Inmutabilidad de la selección</t>
        </is>
      </c>
      <c r="F11" s="8" t="inlineStr">
        <is>
          <t>HU-23</t>
        </is>
      </c>
      <c r="G11" s="8" t="inlineStr">
        <is>
          <t>No</t>
        </is>
      </c>
      <c r="H11" s="8" t="inlineStr">
        <is>
          <t>—</t>
        </is>
      </c>
      <c r="I11" s="10" t="inlineStr">
        <is>
          <t>Aprobado</t>
        </is>
      </c>
      <c r="J11" s="8">
        <f>IF(OR(H11="—",I11=""),"—",IF(H11=I11,"No","Sí"))</f>
        <v/>
      </c>
      <c r="K11" s="11" t="inlineStr">
        <is>
          <t>Luzzi</t>
        </is>
      </c>
      <c r="L11" s="12" t="n">
        <v>46307</v>
      </c>
      <c r="M11" s="11" t="n"/>
      <c r="N11" s="11" t="inlineStr">
        <is>
          <t>Con ← → A D Enter durante 4 s el carrusel no se abre; tras pausar y reanudar el fantasma sigue siendo el Espectro.</t>
        </is>
      </c>
      <c r="P11" s="13" t="inlineStr">
        <is>
          <t>Ejecutores</t>
        </is>
      </c>
      <c r="Q11" s="11" t="inlineStr">
        <is>
          <t>Luzzi</t>
        </is>
      </c>
      <c r="R11" s="14" t="n"/>
      <c r="S11" s="14" t="n"/>
      <c r="T11" s="14" t="n"/>
      <c r="U11" s="14" t="n"/>
      <c r="V11" s="14" t="n"/>
    </row>
    <row r="12" ht="69" customHeight="1">
      <c r="A12" s="6" t="inlineStr">
        <is>
          <t>CP-074</t>
        </is>
      </c>
      <c r="B12" s="7" t="inlineStr">
        <is>
          <t>Nuevo (V2)</t>
        </is>
      </c>
      <c r="C12" s="8" t="inlineStr">
        <is>
          <t>E6</t>
        </is>
      </c>
      <c r="D12" s="9" t="inlineStr">
        <is>
          <t>Alta</t>
        </is>
      </c>
      <c r="E12" s="7" t="inlineStr">
        <is>
          <t>Control del fantasma con flechas y WASD</t>
        </is>
      </c>
      <c r="F12" s="8" t="inlineStr">
        <is>
          <t>HU-24</t>
        </is>
      </c>
      <c r="G12" s="8" t="inlineStr">
        <is>
          <t>Sí</t>
        </is>
      </c>
      <c r="H12" s="8" t="inlineStr">
        <is>
          <t>—</t>
        </is>
      </c>
      <c r="I12" s="10" t="inlineStr">
        <is>
          <t>Aprobado</t>
        </is>
      </c>
      <c r="J12" s="8">
        <f>IF(OR(H12="—",I12=""),"—",IF(H12=I12,"No","Sí"))</f>
        <v/>
      </c>
      <c r="K12" s="11" t="inlineStr">
        <is>
          <t>Luzzi</t>
        </is>
      </c>
      <c r="L12" s="12" t="n">
        <v>46307</v>
      </c>
      <c r="M12" s="11" t="n"/>
      <c r="N12" s="11" t="inlineStr">
        <is>
          <t>Con ↓ → el fantasma bajó y giró a la derecha (celda 4,6); con W A subió y giró a la izquierda (celda 4,3). Precondición preparada por script (posiciones y fantasmas de la IA retirados) para aislar la condición.</t>
        </is>
      </c>
      <c r="P12" s="13" t="inlineStr">
        <is>
          <t>Forma de ejecución</t>
        </is>
      </c>
      <c r="Q12" s="11" t="inlineStr">
        <is>
          <t>Script de navegador (Playwright) que maneja el juego con el teclado y el mouse y lee el estado del juego para verificar los resultados. Cuando una precondición es difícil de alcanzar jugando (posiciones, vidas, mapa reducido), el script la prepara y la observación lo indica.</t>
        </is>
      </c>
      <c r="R12" s="14" t="n"/>
      <c r="S12" s="14" t="n"/>
      <c r="T12" s="14" t="n"/>
      <c r="U12" s="14" t="n"/>
      <c r="V12" s="14" t="n"/>
    </row>
    <row r="13" ht="55.8" customHeight="1">
      <c r="A13" s="6" t="inlineStr">
        <is>
          <t>CP-075</t>
        </is>
      </c>
      <c r="B13" s="7" t="inlineStr">
        <is>
          <t>Nuevo (V2)</t>
        </is>
      </c>
      <c r="C13" s="8" t="inlineStr">
        <is>
          <t>E6</t>
        </is>
      </c>
      <c r="D13" s="9" t="inlineStr">
        <is>
          <t>Alta</t>
        </is>
      </c>
      <c r="E13" s="7" t="inlineStr">
        <is>
          <t>El fantasma respeta los muros</t>
        </is>
      </c>
      <c r="F13" s="8" t="inlineStr">
        <is>
          <t>HU-24</t>
        </is>
      </c>
      <c r="G13" s="8" t="inlineStr">
        <is>
          <t>No</t>
        </is>
      </c>
      <c r="H13" s="8" t="inlineStr">
        <is>
          <t>—</t>
        </is>
      </c>
      <c r="I13" s="10" t="inlineStr">
        <is>
          <t>Aprobado</t>
        </is>
      </c>
      <c r="J13" s="8">
        <f>IF(OR(H13="—",I13=""),"—",IF(H13=I13,"No","Sí"))</f>
        <v/>
      </c>
      <c r="K13" s="11" t="inlineStr">
        <is>
          <t>Luzzi</t>
        </is>
      </c>
      <c r="L13" s="12" t="n">
        <v>46307</v>
      </c>
      <c r="M13" s="11" t="n"/>
      <c r="N13" s="11" t="inlineStr">
        <is>
          <t>Durante 7 s contra el borde superior y los muros de la fila 2, el fantasma nunca entró a un muro ni salió del mapa. Precondición preparada por script (posiciones y fantasmas de la IA retirados) para aislar la condición.</t>
        </is>
      </c>
    </row>
    <row r="14" ht="29.4" customHeight="1">
      <c r="A14" s="6" t="inlineStr">
        <is>
          <t>CP-076</t>
        </is>
      </c>
      <c r="B14" s="7" t="inlineStr">
        <is>
          <t>Nuevo (V2)</t>
        </is>
      </c>
      <c r="C14" s="8" t="inlineStr">
        <is>
          <t>E6</t>
        </is>
      </c>
      <c r="D14" s="9" t="inlineStr">
        <is>
          <t>Alta</t>
        </is>
      </c>
      <c r="E14" s="7" t="inlineStr">
        <is>
          <t>Pacman y los demás fantasmas bajo IA</t>
        </is>
      </c>
      <c r="F14" s="8" t="inlineStr">
        <is>
          <t>HU-24</t>
        </is>
      </c>
      <c r="G14" s="8" t="inlineStr">
        <is>
          <t>Sí</t>
        </is>
      </c>
      <c r="H14" s="8" t="inlineStr">
        <is>
          <t>—</t>
        </is>
      </c>
      <c r="I14" s="10" t="inlineStr">
        <is>
          <t>Aprobado</t>
        </is>
      </c>
      <c r="J14" s="8">
        <f>IF(OR(H14="—",I14=""),"—",IF(H14=I14,"No","Sí"))</f>
        <v/>
      </c>
      <c r="K14" s="11" t="inlineStr">
        <is>
          <t>Luzzi</t>
        </is>
      </c>
      <c r="L14" s="12" t="n">
        <v>46307</v>
      </c>
      <c r="M14" s="11" t="n"/>
      <c r="N14" s="11" t="inlineStr">
        <is>
          <t>En 10 s sin teclas Pacman consumió 39 esferas; los 3 fantasmas de la IA se movieron y el del jugador quedó quieto.</t>
        </is>
      </c>
      <c r="P14" s="4" t="inlineStr">
        <is>
          <t>Resultados del ciclo 2 (% sobre los casos ejecutados en el ciclo)</t>
        </is>
      </c>
      <c r="Q14" s="5" t="n"/>
      <c r="R14" s="5" t="n"/>
      <c r="S14" s="5" t="n"/>
    </row>
    <row r="15" ht="42.59999999999999" customHeight="1">
      <c r="A15" s="6" t="inlineStr">
        <is>
          <t>CP-142</t>
        </is>
      </c>
      <c r="B15" s="7" t="inlineStr">
        <is>
          <t>Nuevo (V2)</t>
        </is>
      </c>
      <c r="C15" s="8" t="inlineStr">
        <is>
          <t>E6</t>
        </is>
      </c>
      <c r="D15" s="9" t="inlineStr">
        <is>
          <t>Media</t>
        </is>
      </c>
      <c r="E15" s="7" t="inlineStr">
        <is>
          <t>Velocidad base del fantasma según su tipo</t>
        </is>
      </c>
      <c r="F15" s="8" t="inlineStr">
        <is>
          <t>HU-24</t>
        </is>
      </c>
      <c r="G15" s="8" t="inlineStr">
        <is>
          <t>No</t>
        </is>
      </c>
      <c r="H15" s="8" t="inlineStr">
        <is>
          <t>—</t>
        </is>
      </c>
      <c r="I15" s="10" t="inlineStr">
        <is>
          <t>Aprobado</t>
        </is>
      </c>
      <c r="J15" s="8">
        <f>IF(OR(H15="—",I15=""),"—",IF(H15=I15,"No","Sí"))</f>
        <v/>
      </c>
      <c r="K15" s="11" t="inlineStr">
        <is>
          <t>Luzzi</t>
        </is>
      </c>
      <c r="L15" s="12" t="n">
        <v>46307</v>
      </c>
      <c r="M15" s="11" t="n"/>
      <c r="N15" s="11" t="inlineStr">
        <is>
          <t>Velocidad medida: Clásico 5.00 celdas/s, Naval 4.00 celdas/s (−20 %). Precondición preparada por script (posiciones y fantasmas de la IA retirados) para aislar la condición.</t>
        </is>
      </c>
      <c r="P15" s="16" t="inlineStr">
        <is>
          <t>Estado</t>
        </is>
      </c>
      <c r="Q15" s="16" t="inlineStr">
        <is>
          <t>Casos</t>
        </is>
      </c>
      <c r="R15" s="16" t="inlineStr">
        <is>
          <t>%</t>
        </is>
      </c>
    </row>
    <row r="16" ht="42.59999999999999" customHeight="1">
      <c r="A16" s="6" t="inlineStr">
        <is>
          <t>CP-077</t>
        </is>
      </c>
      <c r="B16" s="7" t="inlineStr">
        <is>
          <t>Nuevo (V2)</t>
        </is>
      </c>
      <c r="C16" s="8" t="inlineStr">
        <is>
          <t>E6</t>
        </is>
      </c>
      <c r="D16" s="9" t="inlineStr">
        <is>
          <t>Alta</t>
        </is>
      </c>
      <c r="E16" s="7" t="inlineStr">
        <is>
          <t>Derrota de Pacman y reinicio del nivel</t>
        </is>
      </c>
      <c r="F16" s="8" t="inlineStr">
        <is>
          <t>HU-25</t>
        </is>
      </c>
      <c r="G16" s="8" t="inlineStr">
        <is>
          <t>Sí</t>
        </is>
      </c>
      <c r="H16" s="8" t="inlineStr">
        <is>
          <t>—</t>
        </is>
      </c>
      <c r="I16" s="10" t="inlineStr">
        <is>
          <t>Aprobado</t>
        </is>
      </c>
      <c r="J16" s="8">
        <f>IF(OR(H16="—",I16=""),"—",IF(H16=I16,"No","Sí"))</f>
        <v/>
      </c>
      <c r="K16" s="11" t="inlineStr">
        <is>
          <t>Luzzi</t>
        </is>
      </c>
      <c r="L16" s="12" t="n">
        <v>46307</v>
      </c>
      <c r="M16" s="11" t="n"/>
      <c r="N16" s="11" t="inlineStr">
        <is>
          <t>Vidas de Pacman 3 → 2, puntaje +500; Pacman volvió a su posición inicial (7,8) y el fantasma a (1,1); las esferas consumidas siguen consumidas (86 → 86 restantes).</t>
        </is>
      </c>
      <c r="P16" s="7" t="inlineStr">
        <is>
          <t>Aprobado</t>
        </is>
      </c>
      <c r="Q16" s="8">
        <f>COUNTIF($I$4:$I$103,"Aprobado")</f>
        <v/>
      </c>
      <c r="R16" s="17">
        <f>IFERROR(Q16/SUM($Q$16:$Q$18),0)</f>
        <v/>
      </c>
    </row>
    <row r="17" ht="29.4" customHeight="1">
      <c r="A17" s="6" t="inlineStr">
        <is>
          <t>CP-078</t>
        </is>
      </c>
      <c r="B17" s="7" t="inlineStr">
        <is>
          <t>Nuevo (V2)</t>
        </is>
      </c>
      <c r="C17" s="8" t="inlineStr">
        <is>
          <t>E6</t>
        </is>
      </c>
      <c r="D17" s="9" t="inlineStr">
        <is>
          <t>Alta</t>
        </is>
      </c>
      <c r="E17" s="7" t="inlineStr">
        <is>
          <t>Contador de derrotas de Pacman</t>
        </is>
      </c>
      <c r="F17" s="8" t="inlineStr">
        <is>
          <t>HU-25</t>
        </is>
      </c>
      <c r="G17" s="8" t="inlineStr">
        <is>
          <t>No</t>
        </is>
      </c>
      <c r="H17" s="8" t="inlineStr">
        <is>
          <t>—</t>
        </is>
      </c>
      <c r="I17" s="10" t="inlineStr">
        <is>
          <t>Aprobado</t>
        </is>
      </c>
      <c r="J17" s="8">
        <f>IF(OR(H17="—",I17=""),"—",IF(H17=I17,"No","Sí"))</f>
        <v/>
      </c>
      <c r="K17" s="11" t="inlineStr">
        <is>
          <t>Luzzi</t>
        </is>
      </c>
      <c r="L17" s="12" t="n">
        <v>46307</v>
      </c>
      <c r="M17" s="11" t="n"/>
      <c r="N17" s="11" t="inlineStr">
        <is>
          <t>Contador visible: 3; tras el toque de un fantasma de la IA: 3; tras el toque del jugador: 2.</t>
        </is>
      </c>
      <c r="P17" s="7" t="inlineStr">
        <is>
          <t>Fallido</t>
        </is>
      </c>
      <c r="Q17" s="8">
        <f>COUNTIF($I$4:$I$103,"Fallido")</f>
        <v/>
      </c>
      <c r="R17" s="17">
        <f>IFERROR(Q17/SUM($Q$16:$Q$18),0)</f>
        <v/>
      </c>
    </row>
    <row r="18" ht="42.59999999999999" customHeight="1">
      <c r="A18" s="6" t="inlineStr">
        <is>
          <t>CP-079</t>
        </is>
      </c>
      <c r="B18" s="7" t="inlineStr">
        <is>
          <t>Nuevo (V2)</t>
        </is>
      </c>
      <c r="C18" s="8" t="inlineStr">
        <is>
          <t>E6</t>
        </is>
      </c>
      <c r="D18" s="9" t="inlineStr">
        <is>
          <t>Alta</t>
        </is>
      </c>
      <c r="E18" s="7" t="inlineStr">
        <is>
          <t>Nivel completado con 3 derrotas</t>
        </is>
      </c>
      <c r="F18" s="8" t="inlineStr">
        <is>
          <t>HU-25</t>
        </is>
      </c>
      <c r="G18" s="8" t="inlineStr">
        <is>
          <t>Sí</t>
        </is>
      </c>
      <c r="H18" s="8" t="inlineStr">
        <is>
          <t>—</t>
        </is>
      </c>
      <c r="I18" s="10" t="inlineStr">
        <is>
          <t>Aprobado</t>
        </is>
      </c>
      <c r="J18" s="8">
        <f>IF(OR(H18="—",I18=""),"—",IF(H18=I18,"No","Sí"))</f>
        <v/>
      </c>
      <c r="K18" s="11" t="inlineStr">
        <is>
          <t>Luzzi</t>
        </is>
      </c>
      <c r="L18" s="12" t="n">
        <v>46307</v>
      </c>
      <c r="M18" s="11" t="n"/>
      <c r="N18" s="11" t="inlineStr">
        <is>
          <t>Tercera derrota: el nivel se completó y se mostró el resultado; a los 3 s empezó el nivel 2 con 3 vidas de Pacman. (Vidas previas fijadas en 1 por script.)</t>
        </is>
      </c>
      <c r="P18" s="7" t="inlineStr">
        <is>
          <t>Bloqueado</t>
        </is>
      </c>
      <c r="Q18" s="8">
        <f>COUNTIF($I$4:$I$103,"Bloqueado")</f>
        <v/>
      </c>
      <c r="R18" s="17">
        <f>IFERROR(Q18/SUM($Q$16:$Q$18),0)</f>
        <v/>
      </c>
    </row>
    <row r="19" ht="29.4" customHeight="1">
      <c r="A19" s="6" t="inlineStr">
        <is>
          <t>CP-143</t>
        </is>
      </c>
      <c r="B19" s="7" t="inlineStr">
        <is>
          <t>Nuevo (V2)</t>
        </is>
      </c>
      <c r="C19" s="8" t="inlineStr">
        <is>
          <t>E6</t>
        </is>
      </c>
      <c r="D19" s="9" t="inlineStr">
        <is>
          <t>Alta</t>
        </is>
      </c>
      <c r="E19" s="7" t="inlineStr">
        <is>
          <t>Victoria al completar el nivel 3</t>
        </is>
      </c>
      <c r="F19" s="8" t="inlineStr">
        <is>
          <t>HU-25</t>
        </is>
      </c>
      <c r="G19" s="8" t="inlineStr">
        <is>
          <t>No</t>
        </is>
      </c>
      <c r="H19" s="8" t="inlineStr">
        <is>
          <t>—</t>
        </is>
      </c>
      <c r="I19" s="10" t="inlineStr">
        <is>
          <t>Aprobado</t>
        </is>
      </c>
      <c r="J19" s="8">
        <f>IF(OR(H19="—",I19=""),"—",IF(H19=I19,"No","Sí"))</f>
        <v/>
      </c>
      <c r="K19" s="11" t="inlineStr">
        <is>
          <t>Luzzi</t>
        </is>
      </c>
      <c r="L19" s="12" t="n">
        <v>46307</v>
      </c>
      <c r="M19" s="11" t="n"/>
      <c r="N19" s="11" t="inlineStr">
        <is>
          <t>Tercera derrota en el nivel 3: pantalla de Victoria con el desglose (Derrotas de Pacman, Esferas sin consumir, Total).</t>
        </is>
      </c>
      <c r="P19" s="18" t="inlineStr">
        <is>
          <t>Total</t>
        </is>
      </c>
      <c r="Q19" s="19">
        <f>SUM(Q16:Q18)</f>
        <v/>
      </c>
      <c r="R19" s="20">
        <f>SUM(R16:R18)</f>
        <v/>
      </c>
    </row>
    <row r="20" ht="42.59999999999999" customHeight="1">
      <c r="A20" s="6" t="inlineStr">
        <is>
          <t>CP-144</t>
        </is>
      </c>
      <c r="B20" s="7" t="inlineStr">
        <is>
          <t>Nuevo (V2)</t>
        </is>
      </c>
      <c r="C20" s="8" t="inlineStr">
        <is>
          <t>E6</t>
        </is>
      </c>
      <c r="D20" s="9" t="inlineStr">
        <is>
          <t>Alta</t>
        </is>
      </c>
      <c r="E20" s="7" t="inlineStr">
        <is>
          <t>Toque de un fantasma de la IA (decisión 19)</t>
        </is>
      </c>
      <c r="F20" s="8" t="inlineStr">
        <is>
          <t>HU-25</t>
        </is>
      </c>
      <c r="G20" s="8" t="inlineStr">
        <is>
          <t>No</t>
        </is>
      </c>
      <c r="H20" s="8" t="inlineStr">
        <is>
          <t>—</t>
        </is>
      </c>
      <c r="I20" s="10" t="inlineStr">
        <is>
          <t>Aprobado</t>
        </is>
      </c>
      <c r="J20" s="8">
        <f>IF(OR(H20="—",I20=""),"—",IF(H20=I20,"No","Sí"))</f>
        <v/>
      </c>
      <c r="K20" s="11" t="inlineStr">
        <is>
          <t>Luzzi</t>
        </is>
      </c>
      <c r="L20" s="12" t="n">
        <v>46307</v>
      </c>
      <c r="M20" s="11" t="n"/>
      <c r="N20" s="11" t="inlineStr">
        <is>
          <t>Pacman estaba en (7, 1); tras el toque del fantasma de la IA volvió a su posición inicial (7,8) sin perder vidas (3 → 3); puntaje y fantasma del jugador sin cambios.</t>
        </is>
      </c>
    </row>
    <row r="21" ht="42.59999999999999" customHeight="1">
      <c r="A21" s="6" t="inlineStr">
        <is>
          <t>CP-080</t>
        </is>
      </c>
      <c r="B21" s="7" t="inlineStr">
        <is>
          <t>Nuevo (V2)</t>
        </is>
      </c>
      <c r="C21" s="8" t="inlineStr">
        <is>
          <t>E6</t>
        </is>
      </c>
      <c r="D21" s="9" t="inlineStr">
        <is>
          <t>Alta</t>
        </is>
      </c>
      <c r="E21" s="7" t="inlineStr">
        <is>
          <t>Game Over si Pacman consume la última esfera</t>
        </is>
      </c>
      <c r="F21" s="8" t="inlineStr">
        <is>
          <t>HU-26</t>
        </is>
      </c>
      <c r="G21" s="8" t="inlineStr">
        <is>
          <t>No</t>
        </is>
      </c>
      <c r="H21" s="8" t="inlineStr">
        <is>
          <t>—</t>
        </is>
      </c>
      <c r="I21" s="10" t="inlineStr">
        <is>
          <t>Aprobado</t>
        </is>
      </c>
      <c r="J21" s="8">
        <f>IF(OR(H21="—",I21=""),"—",IF(H21=I21,"No","Sí"))</f>
        <v/>
      </c>
      <c r="K21" s="11" t="inlineStr">
        <is>
          <t>Luzzi</t>
        </is>
      </c>
      <c r="L21" s="12" t="n">
        <v>46307</v>
      </c>
      <c r="M21" s="11" t="n"/>
      <c r="N21" s="11" t="inlineStr">
        <is>
          <t>Con 1 derrota de Pacman en el nivel (2 vidas), Pacman consumió la última esfera: Game Over con el puntaje y «Volver a jugar». (Mapa reducido a una esfera por script.)</t>
        </is>
      </c>
    </row>
    <row r="22" ht="55.8" customHeight="1">
      <c r="A22" s="6" t="inlineStr">
        <is>
          <t>CP-145</t>
        </is>
      </c>
      <c r="B22" s="7" t="inlineStr">
        <is>
          <t>Nuevo (V2)</t>
        </is>
      </c>
      <c r="C22" s="8" t="inlineStr">
        <is>
          <t>E6</t>
        </is>
      </c>
      <c r="D22" s="9" t="inlineStr">
        <is>
          <t>Media</t>
        </is>
      </c>
      <c r="E22" s="7" t="inlineStr">
        <is>
          <t>Desglose del puntaje del modo GhostMan (decisión 20)</t>
        </is>
      </c>
      <c r="F22" s="8" t="inlineStr">
        <is>
          <t>HU-26</t>
        </is>
      </c>
      <c r="G22" s="8" t="inlineStr">
        <is>
          <t>No</t>
        </is>
      </c>
      <c r="H22" s="8" t="inlineStr">
        <is>
          <t>—</t>
        </is>
      </c>
      <c r="I22" s="10" t="inlineStr">
        <is>
          <t>Aprobado</t>
        </is>
      </c>
      <c r="J22" s="8">
        <f>IF(OR(H22="—",I22=""),"—",IF(H22=I22,"No","Sí"))</f>
        <v/>
      </c>
      <c r="K22" s="11" t="inlineStr">
        <is>
          <t>Luzzi</t>
        </is>
      </c>
      <c r="L22" s="12" t="n">
        <v>46307</v>
      </c>
      <c r="M22" s="11" t="n"/>
      <c r="N22" s="11" t="inlineStr">
        <is>
          <t>Nivel 1 con 3 derrotas: puntaje 2530 al completar (1500 por derrotas + esferas sin consumir). Desglose final: {'Derrotas de Pacman': '1500', 'Esferas sin consumir': '1030', 'Total': '2530'}; la suma coincide con el total.</t>
        </is>
      </c>
    </row>
    <row r="23" ht="42.59999999999999" customHeight="1">
      <c r="A23" s="6" t="inlineStr">
        <is>
          <t>CP-081</t>
        </is>
      </c>
      <c r="B23" s="7" t="inlineStr">
        <is>
          <t>Nuevo (V2)</t>
        </is>
      </c>
      <c r="C23" s="8" t="inlineStr">
        <is>
          <t>E6</t>
        </is>
      </c>
      <c r="D23" s="9" t="inlineStr">
        <is>
          <t>Alta</t>
        </is>
      </c>
      <c r="E23" s="7" t="inlineStr">
        <is>
          <t>Vulnerabilidad durante el PowerUp de Pacman</t>
        </is>
      </c>
      <c r="F23" s="8" t="inlineStr">
        <is>
          <t>HU-27</t>
        </is>
      </c>
      <c r="G23" s="8" t="inlineStr">
        <is>
          <t>Sí</t>
        </is>
      </c>
      <c r="H23" s="8" t="inlineStr">
        <is>
          <t>—</t>
        </is>
      </c>
      <c r="I23" s="10" t="inlineStr">
        <is>
          <t>Aprobado</t>
        </is>
      </c>
      <c r="J23" s="8">
        <f>IF(OR(H23="—",I23=""),"—",IF(H23=I23,"No","Sí"))</f>
        <v/>
      </c>
      <c r="K23" s="11" t="inlineStr">
        <is>
          <t>Luzzi</t>
        </is>
      </c>
      <c r="L23" s="12" t="n">
        <v>46307</v>
      </c>
      <c r="M23" s="11" t="n"/>
      <c r="N23" s="11" t="inlineStr">
        <is>
          <t>Pacman consumió una esfera grande (ubicada junto a él por script) y el fantasma del jugador pasó al diseño vulnerable; al tocar a Pacman no lo derrotó (vidas 3 → 3; el fantasma fue comido: True).</t>
        </is>
      </c>
    </row>
    <row r="24" ht="42.59999999999999" customHeight="1">
      <c r="A24" s="6" t="inlineStr">
        <is>
          <t>CP-082</t>
        </is>
      </c>
      <c r="B24" s="7" t="inlineStr">
        <is>
          <t>Nuevo (V2)</t>
        </is>
      </c>
      <c r="C24" s="8" t="inlineStr">
        <is>
          <t>E6</t>
        </is>
      </c>
      <c r="D24" s="9" t="inlineStr">
        <is>
          <t>Media</t>
        </is>
      </c>
      <c r="E24" s="7" t="inlineStr">
        <is>
          <t>Reaparición del fantasma del jugador</t>
        </is>
      </c>
      <c r="F24" s="8" t="inlineStr">
        <is>
          <t>HU-27</t>
        </is>
      </c>
      <c r="G24" s="8" t="inlineStr">
        <is>
          <t>Sí</t>
        </is>
      </c>
      <c r="H24" s="8" t="inlineStr">
        <is>
          <t>—</t>
        </is>
      </c>
      <c r="I24" s="10" t="inlineStr">
        <is>
          <t>Aprobado</t>
        </is>
      </c>
      <c r="J24" s="8">
        <f>IF(OR(H24="—",I24=""),"—",IF(H24=I24,"No","Sí"))</f>
        <v/>
      </c>
      <c r="K24" s="11" t="inlineStr">
        <is>
          <t>Luzzi</t>
        </is>
      </c>
      <c r="L24" s="12" t="n">
        <v>46307</v>
      </c>
      <c r="M24" s="11" t="n"/>
      <c r="N24" s="11" t="inlineStr">
        <is>
          <t>Clásico: reapareció a los 5.03 s; Naval: a los 8.02 s. Durante la espera se ve «Reaparecés en 5» y el fantasma queda en (1,1) sin responder al teclado.</t>
        </is>
      </c>
    </row>
    <row r="25" ht="29.4" customHeight="1">
      <c r="A25" s="6" t="inlineStr">
        <is>
          <t>CP-083</t>
        </is>
      </c>
      <c r="B25" s="7" t="inlineStr">
        <is>
          <t>Nuevo (V2)</t>
        </is>
      </c>
      <c r="C25" s="8" t="inlineStr">
        <is>
          <t>E6</t>
        </is>
      </c>
      <c r="D25" s="9" t="inlineStr">
        <is>
          <t>Alta</t>
        </is>
      </c>
      <c r="E25" s="7" t="inlineStr">
        <is>
          <t>Ser comido no descuenta vidas ni reinicia el nivel</t>
        </is>
      </c>
      <c r="F25" s="8" t="inlineStr">
        <is>
          <t>HU-27</t>
        </is>
      </c>
      <c r="G25" s="8" t="inlineStr">
        <is>
          <t>No</t>
        </is>
      </c>
      <c r="H25" s="8" t="inlineStr">
        <is>
          <t>—</t>
        </is>
      </c>
      <c r="I25" s="10" t="inlineStr">
        <is>
          <t>Aprobado</t>
        </is>
      </c>
      <c r="J25" s="8">
        <f>IF(OR(H25="—",I25=""),"—",IF(H25=I25,"No","Sí"))</f>
        <v/>
      </c>
      <c r="K25" s="11" t="inlineStr">
        <is>
          <t>Luzzi</t>
        </is>
      </c>
      <c r="L25" s="12" t="n">
        <v>46307</v>
      </c>
      <c r="M25" s="11" t="n"/>
      <c r="N25" s="11" t="inlineStr">
        <is>
          <t>Comido el fantasma: vidas de Pacman 3 → 3; Pacman siguió desde (4, 3) (no volvió al inicio); esferas 96 → 96. El nivel no se reinició.</t>
        </is>
      </c>
    </row>
    <row r="26" ht="42.59999999999999" customHeight="1">
      <c r="A26" s="6" t="inlineStr">
        <is>
          <t>CP-146</t>
        </is>
      </c>
      <c r="B26" s="7" t="inlineStr">
        <is>
          <t>Nuevo (V2)</t>
        </is>
      </c>
      <c r="C26" s="8" t="inlineStr">
        <is>
          <t>E6</t>
        </is>
      </c>
      <c r="D26" s="9" t="inlineStr">
        <is>
          <t>Media</t>
        </is>
      </c>
      <c r="E26" s="7" t="inlineStr">
        <is>
          <t>El poder no se activa mientras se espera reaparecer</t>
        </is>
      </c>
      <c r="F26" s="8" t="inlineStr">
        <is>
          <t>HU-27</t>
        </is>
      </c>
      <c r="G26" s="8" t="inlineStr">
        <is>
          <t>No</t>
        </is>
      </c>
      <c r="H26" s="8" t="inlineStr">
        <is>
          <t>—</t>
        </is>
      </c>
      <c r="I26" s="10" t="inlineStr">
        <is>
          <t>Aprobado</t>
        </is>
      </c>
      <c r="J26" s="8">
        <f>IF(OR(H26="—",I26=""),"—",IF(H26=I26,"No","Sí"))</f>
        <v/>
      </c>
      <c r="K26" s="11" t="inlineStr">
        <is>
          <t>Luzzi</t>
        </is>
      </c>
      <c r="L26" s="12" t="n">
        <v>46307</v>
      </c>
      <c r="M26" s="11" t="n"/>
      <c r="N26" s="11" t="inlineStr">
        <is>
          <t>Comido el Acelerado, la barra espaciadora durante la espera no hizo nada (cooldown 0, sigue en (1,1)); al reaparecer la estrella sigue disponible.</t>
        </is>
      </c>
    </row>
    <row r="27" ht="55.8" customHeight="1">
      <c r="A27" s="6" t="inlineStr">
        <is>
          <t>CP-084</t>
        </is>
      </c>
      <c r="B27" s="7" t="inlineStr">
        <is>
          <t>Nuevo (V2)</t>
        </is>
      </c>
      <c r="C27" s="8" t="inlineStr">
        <is>
          <t>E7</t>
        </is>
      </c>
      <c r="D27" s="9" t="inlineStr">
        <is>
          <t>Alta</t>
        </is>
      </c>
      <c r="E27" s="7" t="inlineStr">
        <is>
          <t>Espectro: atravesar una pared</t>
        </is>
      </c>
      <c r="F27" s="8" t="inlineStr">
        <is>
          <t>HU-28</t>
        </is>
      </c>
      <c r="G27" s="8" t="inlineStr">
        <is>
          <t>Sí</t>
        </is>
      </c>
      <c r="H27" s="8" t="inlineStr">
        <is>
          <t>—</t>
        </is>
      </c>
      <c r="I27" s="10" t="inlineStr">
        <is>
          <t>Aprobado</t>
        </is>
      </c>
      <c r="J27" s="8">
        <f>IF(OR(H27="—",I27=""),"—",IF(H27=I27,"No","Sí"))</f>
        <v/>
      </c>
      <c r="K27" s="11" t="inlineStr">
        <is>
          <t>Luzzi</t>
        </is>
      </c>
      <c r="L27" s="12" t="n">
        <v>46307</v>
      </c>
      <c r="M27" s="11" t="n"/>
      <c r="N27" s="11" t="inlineStr">
        <is>
          <t>Nivel 2, espectro en (1,7) mirando a la derecha con el muro de una celda (1,8): atravesó y quedó en (1, 10), del otro lado. Precondición preparada por script (posiciones y fantasmas de la IA retirados) para aislar la condición.</t>
        </is>
      </c>
    </row>
    <row r="28" ht="69" customHeight="1">
      <c r="A28" s="6" t="inlineStr">
        <is>
          <t>CP-085</t>
        </is>
      </c>
      <c r="B28" s="7" t="inlineStr">
        <is>
          <t>Nuevo (V2)</t>
        </is>
      </c>
      <c r="C28" s="8" t="inlineStr">
        <is>
          <t>E7</t>
        </is>
      </c>
      <c r="D28" s="9" t="inlineStr">
        <is>
          <t>Alta</t>
        </is>
      </c>
      <c r="E28" s="7" t="inlineStr">
        <is>
          <t>Espectro: cooldown y estado de gracia</t>
        </is>
      </c>
      <c r="F28" s="8" t="inlineStr">
        <is>
          <t>HU-28</t>
        </is>
      </c>
      <c r="G28" s="8" t="inlineStr">
        <is>
          <t>No</t>
        </is>
      </c>
      <c r="H28" s="8" t="inlineStr">
        <is>
          <t>—</t>
        </is>
      </c>
      <c r="I28" s="10" t="inlineStr">
        <is>
          <t>Aprobado</t>
        </is>
      </c>
      <c r="J28" s="8">
        <f>IF(OR(H28="—",I28=""),"—",IF(H28=I28,"No","Sí"))</f>
        <v/>
      </c>
      <c r="K28" s="11" t="inlineStr">
        <is>
          <t>Luzzi</t>
        </is>
      </c>
      <c r="L28" s="12" t="n">
        <v>46307</v>
      </c>
      <c r="M28" s="11" t="n"/>
      <c r="N28" s="11" t="inlineStr">
        <is>
          <t>Tras cruzar, el contacto con Pacman dentro de los 3 s no le quitó vidas (3 → 3); el espectro se ve translúcido y punteado. Espacio en cooldown no tuvo efecto; la estrella volvió a los 10 s. Precondición preparada por script (posiciones y fantasmas de la IA retirados) para aislar la condición.</t>
        </is>
      </c>
    </row>
    <row r="29" ht="55.8" customHeight="1">
      <c r="A29" s="6" t="inlineStr">
        <is>
          <t>CP-086</t>
        </is>
      </c>
      <c r="B29" s="7" t="inlineStr">
        <is>
          <t>Nuevo (V2)</t>
        </is>
      </c>
      <c r="C29" s="8" t="inlineStr">
        <is>
          <t>E7</t>
        </is>
      </c>
      <c r="D29" s="9" t="inlineStr">
        <is>
          <t>Media</t>
        </is>
      </c>
      <c r="E29" s="7" t="inlineStr">
        <is>
          <t>Espectro: sin destino válido no se activa</t>
        </is>
      </c>
      <c r="F29" s="8" t="inlineStr">
        <is>
          <t>HU-28</t>
        </is>
      </c>
      <c r="G29" s="8" t="inlineStr">
        <is>
          <t>No</t>
        </is>
      </c>
      <c r="H29" s="8" t="inlineStr">
        <is>
          <t>—</t>
        </is>
      </c>
      <c r="I29" s="10" t="inlineStr">
        <is>
          <t>Aprobado</t>
        </is>
      </c>
      <c r="J29" s="8">
        <f>IF(OR(H29="—",I29=""),"—",IF(H29=I29,"No","Sí"))</f>
        <v/>
      </c>
      <c r="K29" s="11" t="inlineStr">
        <is>
          <t>Luzzi</t>
        </is>
      </c>
      <c r="L29" s="12" t="n">
        <v>46307</v>
      </c>
      <c r="M29" s="11" t="n"/>
      <c r="N29" s="11" t="inlineStr">
        <is>
          <t>Nivel 1: contra el muro grueso de abajo no atravesó; contra el borde superior no salió del mapa. La estrella siguió disponible en los dos intentos. Precondición preparada por script (posiciones y fantasmas de la IA retirados) para aislar la condición.</t>
        </is>
      </c>
    </row>
    <row r="30" ht="55.8" customHeight="1">
      <c r="A30" s="6" t="inlineStr">
        <is>
          <t>CP-147</t>
        </is>
      </c>
      <c r="B30" s="7" t="inlineStr">
        <is>
          <t>Nuevo (V2)</t>
        </is>
      </c>
      <c r="C30" s="8" t="inlineStr">
        <is>
          <t>E7</t>
        </is>
      </c>
      <c r="D30" s="9" t="inlineStr">
        <is>
          <t>Alta</t>
        </is>
      </c>
      <c r="E30" s="7" t="inlineStr">
        <is>
          <t>El cooldown sobrevive al reinicio del nivel (decisión 28)</t>
        </is>
      </c>
      <c r="F30" s="8" t="inlineStr">
        <is>
          <t>HU-28</t>
        </is>
      </c>
      <c r="G30" s="8" t="inlineStr">
        <is>
          <t>No</t>
        </is>
      </c>
      <c r="H30" s="8" t="inlineStr">
        <is>
          <t>—</t>
        </is>
      </c>
      <c r="I30" s="10" t="inlineStr">
        <is>
          <t>Aprobado</t>
        </is>
      </c>
      <c r="J30" s="8">
        <f>IF(OR(H30="—",I30=""),"—",IF(H30=I30,"No","Sí"))</f>
        <v/>
      </c>
      <c r="K30" s="11" t="inlineStr">
        <is>
          <t>Luzzi</t>
        </is>
      </c>
      <c r="L30" s="12" t="n">
        <v>46307</v>
      </c>
      <c r="M30" s="11" t="n"/>
      <c r="N30" s="11" t="inlineStr">
        <is>
          <t>Derrota de Pacman con el cooldown en 8.4 s: el nivel se reinició y el cooldown siguió en 8.1 s (estrella apagada). Precondición preparada por script (posiciones y fantasmas de la IA retirados) para aislar la condición.</t>
        </is>
      </c>
    </row>
    <row r="31" ht="42.59999999999999" customHeight="1">
      <c r="A31" s="6" t="inlineStr">
        <is>
          <t>CP-087</t>
        </is>
      </c>
      <c r="B31" s="7" t="inlineStr">
        <is>
          <t>Nuevo (V2)</t>
        </is>
      </c>
      <c r="C31" s="8" t="inlineStr">
        <is>
          <t>E7</t>
        </is>
      </c>
      <c r="D31" s="9" t="inlineStr">
        <is>
          <t>Alta</t>
        </is>
      </c>
      <c r="E31" s="7" t="inlineStr">
        <is>
          <t>Saltarín: destino dentro del radio y transitable</t>
        </is>
      </c>
      <c r="F31" s="8" t="inlineStr">
        <is>
          <t>HU-29</t>
        </is>
      </c>
      <c r="G31" s="8" t="inlineStr">
        <is>
          <t>Sí</t>
        </is>
      </c>
      <c r="H31" s="8" t="inlineStr">
        <is>
          <t>—</t>
        </is>
      </c>
      <c r="I31" s="10" t="inlineStr">
        <is>
          <t>Aprobado</t>
        </is>
      </c>
      <c r="J31" s="8">
        <f>IF(OR(H31="—",I31=""),"—",IF(H31=I31,"No","Sí"))</f>
        <v/>
      </c>
      <c r="K31" s="11" t="inlineStr">
        <is>
          <t>Luzzi</t>
        </is>
      </c>
      <c r="L31" s="12" t="n">
        <v>46307</v>
      </c>
      <c r="M31" s="11" t="n"/>
      <c r="N31" s="11" t="inlineStr">
        <is>
          <t>10 saltos; distancias Manhattan [4, 6, 5, 9, 5, 6, 7, 5, 9, 8]; todos a celdas transitables dentro del mapa. (Cooldown anulado por script entre saltos para no esperar 100 s.)</t>
        </is>
      </c>
    </row>
    <row r="32" ht="29.4" customHeight="1">
      <c r="A32" s="6" t="inlineStr">
        <is>
          <t>CP-088</t>
        </is>
      </c>
      <c r="B32" s="7" t="inlineStr">
        <is>
          <t>Nuevo (V2)</t>
        </is>
      </c>
      <c r="C32" s="8" t="inlineStr">
        <is>
          <t>E7</t>
        </is>
      </c>
      <c r="D32" s="9" t="inlineStr">
        <is>
          <t>Media</t>
        </is>
      </c>
      <c r="E32" s="7" t="inlineStr">
        <is>
          <t>Saltarín: cooldown de 10 s</t>
        </is>
      </c>
      <c r="F32" s="8" t="inlineStr">
        <is>
          <t>HU-29</t>
        </is>
      </c>
      <c r="G32" s="8" t="inlineStr">
        <is>
          <t>No</t>
        </is>
      </c>
      <c r="H32" s="8" t="inlineStr">
        <is>
          <t>—</t>
        </is>
      </c>
      <c r="I32" s="10" t="inlineStr">
        <is>
          <t>Aprobado</t>
        </is>
      </c>
      <c r="J32" s="8">
        <f>IF(OR(H32="—",I32=""),"—",IF(H32=I32,"No","Sí"))</f>
        <v/>
      </c>
      <c r="K32" s="11" t="inlineStr">
        <is>
          <t>Luzzi</t>
        </is>
      </c>
      <c r="L32" s="12" t="n">
        <v>46307</v>
      </c>
      <c r="M32" s="11" t="n"/>
      <c r="N32" s="11" t="inlineStr">
        <is>
          <t>A los 9 s espacio no hizo nada; el poder volvió a los 9.92 s y saltó.</t>
        </is>
      </c>
    </row>
    <row r="33" ht="42.59999999999999" customHeight="1">
      <c r="A33" s="6" t="inlineStr">
        <is>
          <t>CP-089</t>
        </is>
      </c>
      <c r="B33" s="7" t="inlineStr">
        <is>
          <t>Nuevo (V2)</t>
        </is>
      </c>
      <c r="C33" s="8" t="inlineStr">
        <is>
          <t>E7</t>
        </is>
      </c>
      <c r="D33" s="9" t="inlineStr">
        <is>
          <t>Media</t>
        </is>
      </c>
      <c r="E33" s="7" t="inlineStr">
        <is>
          <t>Saltarín: salto sobre Pacman</t>
        </is>
      </c>
      <c r="F33" s="8" t="inlineStr">
        <is>
          <t>HU-29</t>
        </is>
      </c>
      <c r="G33" s="8" t="inlineStr">
        <is>
          <t>No</t>
        </is>
      </c>
      <c r="H33" s="8" t="inlineStr">
        <is>
          <t>—</t>
        </is>
      </c>
      <c r="I33" s="10" t="inlineStr">
        <is>
          <t>Aprobado</t>
        </is>
      </c>
      <c r="J33" s="8">
        <f>IF(OR(H33="—",I33=""),"—",IF(H33=I33,"No","Sí"))</f>
        <v/>
      </c>
      <c r="K33" s="11" t="inlineStr">
        <is>
          <t>Luzzi</t>
        </is>
      </c>
      <c r="L33" s="12" t="n">
        <v>46307</v>
      </c>
      <c r="M33" s="11" t="n"/>
      <c r="N33" s="11" t="inlineStr">
        <is>
          <t>Repitiendo el salto desde (1,1) con Pacman quieto en (1,3), en el intento 10 el saltarín cayó sobre Pacman: vidas 3 → 2. (Cooldown anulado por script.)</t>
        </is>
      </c>
    </row>
    <row r="34" ht="55.8" customHeight="1">
      <c r="A34" s="6" t="inlineStr">
        <is>
          <t>CP-090</t>
        </is>
      </c>
      <c r="B34" s="7" t="inlineStr">
        <is>
          <t>Nuevo (V2)</t>
        </is>
      </c>
      <c r="C34" s="8" t="inlineStr">
        <is>
          <t>E7</t>
        </is>
      </c>
      <c r="D34" s="9" t="inlineStr">
        <is>
          <t>Alta</t>
        </is>
      </c>
      <c r="E34" s="7" t="inlineStr">
        <is>
          <t>Naval: fruta falsa consumida por Pacman</t>
        </is>
      </c>
      <c r="F34" s="8" t="inlineStr">
        <is>
          <t>HU-30</t>
        </is>
      </c>
      <c r="G34" s="8" t="inlineStr">
        <is>
          <t>Sí</t>
        </is>
      </c>
      <c r="H34" s="8" t="inlineStr">
        <is>
          <t>—</t>
        </is>
      </c>
      <c r="I34" s="10" t="inlineStr">
        <is>
          <t>Aprobado</t>
        </is>
      </c>
      <c r="J34" s="8">
        <f>IF(OR(H34="—",I34=""),"—",IF(H34=I34,"No","Sí"))</f>
        <v/>
      </c>
      <c r="K34" s="11" t="inlineStr">
        <is>
          <t>Luzzi</t>
        </is>
      </c>
      <c r="L34" s="12" t="n">
        <v>46307</v>
      </c>
      <c r="M34" s="11" t="n"/>
      <c r="N34" s="11" t="inlineStr">
        <is>
          <t>El naval colocó la fruta falsa en (10,8), a 3 celdas de Pacman; Pacman fue por ella, la consumió y perdió una vida (3 → 2); el nivel se reinició (Pacman en (7, 8), fantasma en (1,1)). (Posiciones preparadas por script.)</t>
        </is>
      </c>
    </row>
    <row r="35" ht="42.59999999999999" customHeight="1">
      <c r="A35" s="6" t="inlineStr">
        <is>
          <t>CP-091</t>
        </is>
      </c>
      <c r="B35" s="7" t="inlineStr">
        <is>
          <t>Nuevo (V2)</t>
        </is>
      </c>
      <c r="C35" s="8" t="inlineStr">
        <is>
          <t>E7</t>
        </is>
      </c>
      <c r="D35" s="9" t="inlineStr">
        <is>
          <t>Alta</t>
        </is>
      </c>
      <c r="E35" s="7" t="inlineStr">
        <is>
          <t>Naval: fruta falsa con el PowerUp de Pacman</t>
        </is>
      </c>
      <c r="F35" s="8" t="inlineStr">
        <is>
          <t>HU-30</t>
        </is>
      </c>
      <c r="G35" s="8" t="inlineStr">
        <is>
          <t>No</t>
        </is>
      </c>
      <c r="H35" s="8" t="inlineStr">
        <is>
          <t>—</t>
        </is>
      </c>
      <c r="I35" s="10" t="inlineStr">
        <is>
          <t>Aprobado</t>
        </is>
      </c>
      <c r="J35" s="8">
        <f>IF(OR(H35="—",I35=""),"—",IF(H35=I35,"No","Sí"))</f>
        <v/>
      </c>
      <c r="K35" s="11" t="inlineStr">
        <is>
          <t>Luzzi</t>
        </is>
      </c>
      <c r="L35" s="12" t="n">
        <v>46307</v>
      </c>
      <c r="M35" s="11" t="n"/>
      <c r="N35" s="11" t="inlineStr">
        <is>
          <t>Con el PowerUp activo Pacman consumió la fruta falsa: desapareció sin efecto (vidas 3 → 3; puntaje 0 → 0, sin descuento). (Posiciones preparadas por script.)</t>
        </is>
      </c>
    </row>
    <row r="36" ht="29.4" customHeight="1">
      <c r="A36" s="6" t="inlineStr">
        <is>
          <t>CP-092</t>
        </is>
      </c>
      <c r="B36" s="7" t="inlineStr">
        <is>
          <t>Nuevo (V2)</t>
        </is>
      </c>
      <c r="C36" s="8" t="inlineStr">
        <is>
          <t>E7</t>
        </is>
      </c>
      <c r="D36" s="9" t="inlineStr">
        <is>
          <t>Alta</t>
        </is>
      </c>
      <c r="E36" s="7" t="inlineStr">
        <is>
          <t>Naval: explosión a los 10 s</t>
        </is>
      </c>
      <c r="F36" s="8" t="inlineStr">
        <is>
          <t>HU-30</t>
        </is>
      </c>
      <c r="G36" s="8" t="inlineStr">
        <is>
          <t>Sí</t>
        </is>
      </c>
      <c r="H36" s="8" t="inlineStr">
        <is>
          <t>—</t>
        </is>
      </c>
      <c r="I36" s="10" t="inlineStr">
        <is>
          <t>Aprobado</t>
        </is>
      </c>
      <c r="J36" s="8">
        <f>IF(OR(H36="—",I36=""),"—",IF(H36=I36,"No","Sí"))</f>
        <v/>
      </c>
      <c r="K36" s="11" t="inlineStr">
        <is>
          <t>Luzzi</t>
        </is>
      </c>
      <c r="L36" s="12" t="n">
        <v>46307</v>
      </c>
      <c r="M36" s="11" t="n"/>
      <c r="N36" s="11" t="inlineStr">
        <is>
          <t>Explotó a los 9.92 s; cubrió 9 celdas, todas transitables y a ≤ 3 pasos (máx. Manhattan 3); se vio la cuenta regresiva desde los 7 s.</t>
        </is>
      </c>
    </row>
    <row r="37" ht="69" customHeight="1">
      <c r="A37" s="6" t="inlineStr">
        <is>
          <t>CP-093</t>
        </is>
      </c>
      <c r="B37" s="7" t="inlineStr">
        <is>
          <t>Nuevo (V2)</t>
        </is>
      </c>
      <c r="C37" s="8" t="inlineStr">
        <is>
          <t>E7</t>
        </is>
      </c>
      <c r="D37" s="9" t="inlineStr">
        <is>
          <t>Media</t>
        </is>
      </c>
      <c r="E37" s="7" t="inlineStr">
        <is>
          <t>Naval: máximo de 2 frutas y cooldown de 5 s</t>
        </is>
      </c>
      <c r="F37" s="8" t="inlineStr">
        <is>
          <t>HU-30</t>
        </is>
      </c>
      <c r="G37" s="8" t="inlineStr">
        <is>
          <t>No</t>
        </is>
      </c>
      <c r="H37" s="8" t="inlineStr">
        <is>
          <t>—</t>
        </is>
      </c>
      <c r="I37" s="10" t="inlineStr">
        <is>
          <t>Aprobado</t>
        </is>
      </c>
      <c r="J37" s="8">
        <f>IF(OR(H37="—",I37=""),"—",IF(H37=I37,"No","Sí"))</f>
        <v/>
      </c>
      <c r="K37" s="11" t="inlineStr">
        <is>
          <t>Luzzi</t>
        </is>
      </c>
      <c r="L37" s="12" t="n">
        <v>46307</v>
      </c>
      <c r="M37" s="11" t="n"/>
      <c r="N37" s="11" t="inlineStr">
        <is>
          <t>A los 3 s no colocó (quedó 1); a los 5 s colocó la segunda (2); con 2 en el mapa, la tercera no se colocó (2) y el poder no se consumió (cooldown 0). (Para el tercer intento el cooldown se anuló por script: con 5 s de cooldown y 10 s de vida, la primera fruta explota justo cuando vuelve el poder.)</t>
        </is>
      </c>
      <c r="P37" s="4" t="inlineStr">
        <is>
          <t>Comparación de resultados por entrega (%)</t>
        </is>
      </c>
      <c r="Q37" s="5" t="n"/>
      <c r="R37" s="5" t="n"/>
      <c r="S37" s="5" t="n"/>
    </row>
    <row r="38" ht="29.4" customHeight="1">
      <c r="A38" s="6" t="inlineStr">
        <is>
          <t>CP-094</t>
        </is>
      </c>
      <c r="B38" s="7" t="inlineStr">
        <is>
          <t>Nuevo (V2)</t>
        </is>
      </c>
      <c r="C38" s="8" t="inlineStr">
        <is>
          <t>E7</t>
        </is>
      </c>
      <c r="D38" s="9" t="inlineStr">
        <is>
          <t>Media</t>
        </is>
      </c>
      <c r="E38" s="7" t="inlineStr">
        <is>
          <t>Naval: fruta falsa distinguible de la real</t>
        </is>
      </c>
      <c r="F38" s="8" t="inlineStr">
        <is>
          <t>HU-30</t>
        </is>
      </c>
      <c r="G38" s="8" t="inlineStr">
        <is>
          <t>No</t>
        </is>
      </c>
      <c r="H38" s="8" t="inlineStr">
        <is>
          <t>—</t>
        </is>
      </c>
      <c r="I38" s="10" t="inlineStr">
        <is>
          <t>Aprobado</t>
        </is>
      </c>
      <c r="J38" s="8">
        <f>IF(OR(H38="—",I38=""),"—",IF(H38=I38,"No","Sí"))</f>
        <v/>
      </c>
      <c r="K38" s="11" t="inlineStr">
        <is>
          <t>Luzzi</t>
        </is>
      </c>
      <c r="L38" s="12" t="n">
        <v>46307</v>
      </c>
      <c r="M38" s="11" t="n"/>
      <c r="N38" s="11" t="inlineStr">
        <is>
          <t>Fruta real (cereza roja) en (1,6) y fruta falsa en (1,4): se distinguen a la vista (ver captura CP-094.png).</t>
        </is>
      </c>
      <c r="P38" s="16" t="inlineStr">
        <is>
          <t>Estado</t>
        </is>
      </c>
      <c r="Q38" s="16" t="inlineStr">
        <is>
          <t>Entrega 1 (V1)</t>
        </is>
      </c>
      <c r="R38" s="16" t="inlineStr">
        <is>
          <t>Entrega 2 (V2)</t>
        </is>
      </c>
      <c r="S38" s="16" t="inlineStr">
        <is>
          <t>Casos E1 / E2</t>
        </is>
      </c>
    </row>
    <row r="39" ht="29.4" customHeight="1">
      <c r="A39" s="6" t="inlineStr">
        <is>
          <t>CP-148</t>
        </is>
      </c>
      <c r="B39" s="7" t="inlineStr">
        <is>
          <t>Nuevo (V2)</t>
        </is>
      </c>
      <c r="C39" s="8" t="inlineStr">
        <is>
          <t>E7</t>
        </is>
      </c>
      <c r="D39" s="9" t="inlineStr">
        <is>
          <t>Media</t>
        </is>
      </c>
      <c r="E39" s="7" t="inlineStr">
        <is>
          <t>Frutas falsas al reiniciarse el nivel (decisión 27)</t>
        </is>
      </c>
      <c r="F39" s="8" t="inlineStr">
        <is>
          <t>HU-30</t>
        </is>
      </c>
      <c r="G39" s="8" t="inlineStr">
        <is>
          <t>No</t>
        </is>
      </c>
      <c r="H39" s="8" t="inlineStr">
        <is>
          <t>—</t>
        </is>
      </c>
      <c r="I39" s="10" t="inlineStr">
        <is>
          <t>Aprobado</t>
        </is>
      </c>
      <c r="J39" s="8">
        <f>IF(OR(H39="—",I39=""),"—",IF(H39=I39,"No","Sí"))</f>
        <v/>
      </c>
      <c r="K39" s="11" t="inlineStr">
        <is>
          <t>Luzzi</t>
        </is>
      </c>
      <c r="L39" s="12" t="n">
        <v>46307</v>
      </c>
      <c r="M39" s="11" t="n"/>
      <c r="N39" s="11" t="inlineStr">
        <is>
          <t>Con 2 frutas falsas en el mapa, el jugador derrotó a Pacman: al reiniciarse el nivel desaparecieron sin explotar.</t>
        </is>
      </c>
      <c r="P39" s="7" t="inlineStr">
        <is>
          <t>Aprobado</t>
        </is>
      </c>
      <c r="Q39" s="17" t="n">
        <v>0.9696969696969697</v>
      </c>
      <c r="R39" s="17">
        <f>R16</f>
        <v/>
      </c>
      <c r="S39" s="8">
        <f>"64 / "&amp;Q16</f>
        <v/>
      </c>
    </row>
    <row r="40" ht="29.4" customHeight="1">
      <c r="A40" s="6" t="inlineStr">
        <is>
          <t>CP-095</t>
        </is>
      </c>
      <c r="B40" s="7" t="inlineStr">
        <is>
          <t>Nuevo (V2)</t>
        </is>
      </c>
      <c r="C40" s="8" t="inlineStr">
        <is>
          <t>E7</t>
        </is>
      </c>
      <c r="D40" s="9" t="inlineStr">
        <is>
          <t>Alta</t>
        </is>
      </c>
      <c r="E40" s="7" t="inlineStr">
        <is>
          <t>Acelerado: dash de hasta 3 celdas</t>
        </is>
      </c>
      <c r="F40" s="8" t="inlineStr">
        <is>
          <t>HU-31</t>
        </is>
      </c>
      <c r="G40" s="8" t="inlineStr">
        <is>
          <t>Sí</t>
        </is>
      </c>
      <c r="H40" s="8" t="inlineStr">
        <is>
          <t>—</t>
        </is>
      </c>
      <c r="I40" s="10" t="inlineStr">
        <is>
          <t>Aprobado</t>
        </is>
      </c>
      <c r="J40" s="8">
        <f>IF(OR(H40="—",I40=""),"—",IF(H40=I40,"No","Sí"))</f>
        <v/>
      </c>
      <c r="K40" s="11" t="inlineStr">
        <is>
          <t>Luzzi</t>
        </is>
      </c>
      <c r="L40" s="12" t="n">
        <v>46307</v>
      </c>
      <c r="M40" s="11" t="n"/>
      <c r="N40" s="11" t="inlineStr">
        <is>
          <t>Desde (1,4) con pasillo libre avanzó 3 celdas (col 7); desde (1,13) con el borde a 2 celdas se detuvo en la última transitable (col 15).</t>
        </is>
      </c>
      <c r="P40" s="7" t="inlineStr">
        <is>
          <t>Fallido</t>
        </is>
      </c>
      <c r="Q40" s="17" t="n">
        <v>0.01515151515151515</v>
      </c>
      <c r="R40" s="17">
        <f>R17</f>
        <v/>
      </c>
      <c r="S40" s="8">
        <f>"1 / "&amp;Q17</f>
        <v/>
      </c>
    </row>
    <row r="41" ht="29.4" customHeight="1">
      <c r="A41" s="6" t="inlineStr">
        <is>
          <t>CP-096</t>
        </is>
      </c>
      <c r="B41" s="7" t="inlineStr">
        <is>
          <t>Nuevo (V2)</t>
        </is>
      </c>
      <c r="C41" s="8" t="inlineStr">
        <is>
          <t>E7</t>
        </is>
      </c>
      <c r="D41" s="9" t="inlineStr">
        <is>
          <t>Alta</t>
        </is>
      </c>
      <c r="E41" s="7" t="inlineStr">
        <is>
          <t>Acelerado: penalidad de velocidad posterior</t>
        </is>
      </c>
      <c r="F41" s="8" t="inlineStr">
        <is>
          <t>HU-31</t>
        </is>
      </c>
      <c r="G41" s="8" t="inlineStr">
        <is>
          <t>No</t>
        </is>
      </c>
      <c r="H41" s="8" t="inlineStr">
        <is>
          <t>—</t>
        </is>
      </c>
      <c r="I41" s="10" t="inlineStr">
        <is>
          <t>Aprobado</t>
        </is>
      </c>
      <c r="J41" s="8">
        <f>IF(OR(H41="—",I41=""),"—",IF(H41=I41,"No","Sí"))</f>
        <v/>
      </c>
      <c r="K41" s="11" t="inlineStr">
        <is>
          <t>Luzzi</t>
        </is>
      </c>
      <c r="L41" s="12" t="n">
        <v>46307</v>
      </c>
      <c r="M41" s="11" t="n"/>
      <c r="N41" s="11" t="inlineStr">
        <is>
          <t>Después del dash: 2.46 celdas/s; pasados los 5 s: 5.00 celdas/s.</t>
        </is>
      </c>
      <c r="P41" s="7" t="inlineStr">
        <is>
          <t>Bloqueado</t>
        </is>
      </c>
      <c r="Q41" s="17" t="n">
        <v>0.01515151515151515</v>
      </c>
      <c r="R41" s="17">
        <f>R18</f>
        <v/>
      </c>
      <c r="S41" s="8">
        <f>"1 / "&amp;Q18</f>
        <v/>
      </c>
    </row>
    <row r="42" ht="29.4" customHeight="1">
      <c r="A42" s="6" t="inlineStr">
        <is>
          <t>CP-097</t>
        </is>
      </c>
      <c r="B42" s="7" t="inlineStr">
        <is>
          <t>Nuevo (V2)</t>
        </is>
      </c>
      <c r="C42" s="8" t="inlineStr">
        <is>
          <t>E7</t>
        </is>
      </c>
      <c r="D42" s="9" t="inlineStr">
        <is>
          <t>Baja</t>
        </is>
      </c>
      <c r="E42" s="7" t="inlineStr">
        <is>
          <t>Acelerado: dash sin dirección de avance</t>
        </is>
      </c>
      <c r="F42" s="8" t="inlineStr">
        <is>
          <t>HU-31</t>
        </is>
      </c>
      <c r="G42" s="8" t="inlineStr">
        <is>
          <t>No</t>
        </is>
      </c>
      <c r="H42" s="8" t="inlineStr">
        <is>
          <t>—</t>
        </is>
      </c>
      <c r="I42" s="10" t="inlineStr">
        <is>
          <t>Aprobado</t>
        </is>
      </c>
      <c r="J42" s="8">
        <f>IF(OR(H42="—",I42=""),"—",IF(H42=I42,"No","Sí"))</f>
        <v/>
      </c>
      <c r="K42" s="11" t="inlineStr">
        <is>
          <t>Luzzi</t>
        </is>
      </c>
      <c r="L42" s="12" t="n">
        <v>46307</v>
      </c>
      <c r="M42" s="11" t="n"/>
      <c r="N42" s="11" t="inlineStr">
        <is>
          <t>Sin moverlo desde la aparición, espacio no lo desplazó y la estrella siguió disponible.</t>
        </is>
      </c>
      <c r="P42" s="21" t="inlineStr">
        <is>
          <t>Fuente Entrega 1: reporte de ejecución de la Entrega 1 (66 casos: 64 aprobados, 1 fallido, 1 bloqueado).</t>
        </is>
      </c>
    </row>
    <row r="43" ht="29.4" customHeight="1">
      <c r="A43" s="6" t="inlineStr">
        <is>
          <t>CP-149</t>
        </is>
      </c>
      <c r="B43" s="7" t="inlineStr">
        <is>
          <t>Nuevo (V2)</t>
        </is>
      </c>
      <c r="C43" s="8" t="inlineStr">
        <is>
          <t>E7</t>
        </is>
      </c>
      <c r="D43" s="9" t="inlineStr">
        <is>
          <t>Alta</t>
        </is>
      </c>
      <c r="E43" s="7" t="inlineStr">
        <is>
          <t>Dash que pasa por encima de Pacman (decisión 32)</t>
        </is>
      </c>
      <c r="F43" s="8" t="inlineStr">
        <is>
          <t>HU-31</t>
        </is>
      </c>
      <c r="G43" s="8" t="inlineStr">
        <is>
          <t>No</t>
        </is>
      </c>
      <c r="H43" s="8" t="inlineStr">
        <is>
          <t>—</t>
        </is>
      </c>
      <c r="I43" s="10" t="inlineStr">
        <is>
          <t>Aprobado</t>
        </is>
      </c>
      <c r="J43" s="8">
        <f>IF(OR(H43="—",I43=""),"—",IF(H43=I43,"No","Sí"))</f>
        <v/>
      </c>
      <c r="K43" s="11" t="inlineStr">
        <is>
          <t>Luzzi</t>
        </is>
      </c>
      <c r="L43" s="12" t="n">
        <v>46307</v>
      </c>
      <c r="M43" s="11" t="n"/>
      <c r="N43" s="11" t="inlineStr">
        <is>
          <t>Pacman en (1,6), dash desde (1,4) hasta (1,7): Pacman perdió una vida (3 → 2).</t>
        </is>
      </c>
    </row>
    <row r="44" ht="29.4" customHeight="1">
      <c r="A44" s="6" t="inlineStr">
        <is>
          <t>CP-098</t>
        </is>
      </c>
      <c r="B44" s="7" t="inlineStr">
        <is>
          <t>Nuevo (V2)</t>
        </is>
      </c>
      <c r="C44" s="8" t="inlineStr">
        <is>
          <t>E7</t>
        </is>
      </c>
      <c r="D44" s="9" t="inlineStr">
        <is>
          <t>Media</t>
        </is>
      </c>
      <c r="E44" s="7" t="inlineStr">
        <is>
          <t>Indicador de poder disponible</t>
        </is>
      </c>
      <c r="F44" s="8" t="inlineStr">
        <is>
          <t>HU-32</t>
        </is>
      </c>
      <c r="G44" s="8" t="inlineStr">
        <is>
          <t>Sí</t>
        </is>
      </c>
      <c r="H44" s="8" t="inlineStr">
        <is>
          <t>—</t>
        </is>
      </c>
      <c r="I44" s="10" t="inlineStr">
        <is>
          <t>Aprobado</t>
        </is>
      </c>
      <c r="J44" s="8">
        <f>IF(OR(H44="—",I44=""),"—",IF(H44=I44,"No","Sí"))</f>
        <v/>
      </c>
      <c r="K44" s="11" t="inlineStr">
        <is>
          <t>Luzzi</t>
        </is>
      </c>
      <c r="L44" s="12" t="n">
        <v>46307</v>
      </c>
      <c r="M44" s="11" t="n"/>
      <c r="N44" s="11" t="inlineStr">
        <is>
          <t>Estrella encendida abajo a la izquierda junto a las vidas; se apagó al saltar y volvió a encenderse a los 9.93 s.</t>
        </is>
      </c>
    </row>
    <row r="45" ht="29.4" customHeight="1">
      <c r="A45" s="6" t="inlineStr">
        <is>
          <t>CP-099</t>
        </is>
      </c>
      <c r="B45" s="7" t="inlineStr">
        <is>
          <t>Nuevo (V2)</t>
        </is>
      </c>
      <c r="C45" s="8" t="inlineStr">
        <is>
          <t>E7</t>
        </is>
      </c>
      <c r="D45" s="9" t="inlineStr">
        <is>
          <t>Baja</t>
        </is>
      </c>
      <c r="E45" s="7" t="inlineStr">
        <is>
          <t>Sin indicador para el fantasma clásico</t>
        </is>
      </c>
      <c r="F45" s="8" t="inlineStr">
        <is>
          <t>HU-32</t>
        </is>
      </c>
      <c r="G45" s="8" t="inlineStr">
        <is>
          <t>No</t>
        </is>
      </c>
      <c r="H45" s="8" t="inlineStr">
        <is>
          <t>—</t>
        </is>
      </c>
      <c r="I45" s="10" t="inlineStr">
        <is>
          <t>Aprobado</t>
        </is>
      </c>
      <c r="J45" s="8">
        <f>IF(OR(H45="—",I45=""),"—",IF(H45=I45,"No","Sí"))</f>
        <v/>
      </c>
      <c r="K45" s="11" t="inlineStr">
        <is>
          <t>Luzzi</t>
        </is>
      </c>
      <c r="L45" s="12" t="n">
        <v>46307</v>
      </c>
      <c r="M45" s="11" t="n"/>
      <c r="N45" s="11" t="inlineStr">
        <is>
          <t>Con el Clásico la barra inferior muestra solo las vidas de Pacman; sin estrella, y espacio no hace nada.</t>
        </is>
      </c>
    </row>
    <row r="46" ht="29.4" customHeight="1">
      <c r="A46" s="6" t="inlineStr">
        <is>
          <t>CP-100</t>
        </is>
      </c>
      <c r="B46" s="7" t="inlineStr">
        <is>
          <t>Nuevo (V2)</t>
        </is>
      </c>
      <c r="C46" s="8" t="inlineStr">
        <is>
          <t>E7</t>
        </is>
      </c>
      <c r="D46" s="9" t="inlineStr">
        <is>
          <t>Media</t>
        </is>
      </c>
      <c r="E46" s="7" t="inlineStr">
        <is>
          <t>Espacio durante el cooldown sin efecto</t>
        </is>
      </c>
      <c r="F46" s="8" t="inlineStr">
        <is>
          <t>HU-32</t>
        </is>
      </c>
      <c r="G46" s="8" t="inlineStr">
        <is>
          <t>No</t>
        </is>
      </c>
      <c r="H46" s="8" t="inlineStr">
        <is>
          <t>—</t>
        </is>
      </c>
      <c r="I46" s="10" t="inlineStr">
        <is>
          <t>Aprobado</t>
        </is>
      </c>
      <c r="J46" s="8">
        <f>IF(OR(H46="—",I46=""),"—",IF(H46=I46,"No","Sí"))</f>
        <v/>
      </c>
      <c r="K46" s="11" t="inlineStr">
        <is>
          <t>Luzzi</t>
        </is>
      </c>
      <c r="L46" s="12" t="n">
        <v>46307</v>
      </c>
      <c r="M46" s="11" t="n"/>
      <c r="N46" s="11" t="inlineStr">
        <is>
          <t>5 pulsaciones de espacio en cooldown: no se colocó otra fruta y el cooldown siguió bajando (4.42 → 3.88 s).</t>
        </is>
      </c>
    </row>
    <row r="47" ht="29.4" customHeight="1">
      <c r="A47" s="6" t="inlineStr">
        <is>
          <t>CP-150</t>
        </is>
      </c>
      <c r="B47" s="7" t="inlineStr">
        <is>
          <t>Nuevo (V2)</t>
        </is>
      </c>
      <c r="C47" s="8" t="inlineStr">
        <is>
          <t>E7</t>
        </is>
      </c>
      <c r="D47" s="9" t="inlineStr">
        <is>
          <t>Media</t>
        </is>
      </c>
      <c r="E47" s="7" t="inlineStr">
        <is>
          <t>Poder sin efecto no consume el cooldown (decisión 25)</t>
        </is>
      </c>
      <c r="F47" s="8" t="inlineStr">
        <is>
          <t>HU-32</t>
        </is>
      </c>
      <c r="G47" s="8" t="inlineStr">
        <is>
          <t>No</t>
        </is>
      </c>
      <c r="H47" s="8" t="inlineStr">
        <is>
          <t>—</t>
        </is>
      </c>
      <c r="I47" s="10" t="inlineStr">
        <is>
          <t>Aprobado</t>
        </is>
      </c>
      <c r="J47" s="8">
        <f>IF(OR(H47="—",I47=""),"—",IF(H47=I47,"No","Sí"))</f>
        <v/>
      </c>
      <c r="K47" s="11" t="inlineStr">
        <is>
          <t>Luzzi</t>
        </is>
      </c>
      <c r="L47" s="12" t="n">
        <v>46307</v>
      </c>
      <c r="M47" s="11" t="n"/>
      <c r="N47" s="11" t="inlineStr">
        <is>
          <t>Contra el borde no hubo dash y el cooldown quedó en 0; en el pasillo libre el dash se ejecutó de inmediato.</t>
        </is>
      </c>
    </row>
    <row r="48" ht="42.59999999999999" customHeight="1">
      <c r="A48" s="6" t="inlineStr">
        <is>
          <t>CP-101</t>
        </is>
      </c>
      <c r="B48" s="7" t="inlineStr">
        <is>
          <t>Nuevo (V2)</t>
        </is>
      </c>
      <c r="C48" s="8" t="inlineStr">
        <is>
          <t>E8</t>
        </is>
      </c>
      <c r="D48" s="9" t="inlineStr">
        <is>
          <t>Alta</t>
        </is>
      </c>
      <c r="E48" s="7" t="inlineStr">
        <is>
          <t>Pacman destruye hasta 5 paredes en el nivel 2</t>
        </is>
      </c>
      <c r="F48" s="8" t="inlineStr">
        <is>
          <t>HU-33</t>
        </is>
      </c>
      <c r="G48" s="8" t="inlineStr">
        <is>
          <t>Sí</t>
        </is>
      </c>
      <c r="H48" s="8" t="inlineStr">
        <is>
          <t>—</t>
        </is>
      </c>
      <c r="I48" s="10" t="inlineStr">
        <is>
          <t>Aprobado</t>
        </is>
      </c>
      <c r="J48" s="8">
        <f>IF(OR(H48="—",I48=""),"—",IF(H48=I48,"No","Sí"))</f>
        <v/>
      </c>
      <c r="K48" s="11" t="inlineStr">
        <is>
          <t>Luzzi</t>
        </is>
      </c>
      <c r="L48" s="12" t="n">
        <v>46307</v>
      </c>
      <c r="M48" s="11" t="n"/>
      <c r="N48" s="11" t="inlineStr">
        <is>
          <t>Nivel 2 sin interferencia: Pacman destruyó 2 paredes, como máximo 2 por esfera grande, ninguna del borde; las celdas rotas quedaron transitables.</t>
        </is>
      </c>
    </row>
    <row r="49" ht="29.4" customHeight="1">
      <c r="A49" s="6" t="inlineStr">
        <is>
          <t>CP-102</t>
        </is>
      </c>
      <c r="B49" s="7" t="inlineStr">
        <is>
          <t>Nuevo (V2)</t>
        </is>
      </c>
      <c r="C49" s="8" t="inlineStr">
        <is>
          <t>E8</t>
        </is>
      </c>
      <c r="D49" s="9" t="inlineStr">
        <is>
          <t>Alta</t>
        </is>
      </c>
      <c r="E49" s="7" t="inlineStr">
        <is>
          <t>El nivel 1 no habilita la destrucción de paredes</t>
        </is>
      </c>
      <c r="F49" s="8" t="inlineStr">
        <is>
          <t>HU-33</t>
        </is>
      </c>
      <c r="G49" s="8" t="inlineStr">
        <is>
          <t>No</t>
        </is>
      </c>
      <c r="H49" s="8" t="inlineStr">
        <is>
          <t>—</t>
        </is>
      </c>
      <c r="I49" s="10" t="inlineStr">
        <is>
          <t>Aprobado</t>
        </is>
      </c>
      <c r="J49" s="8">
        <f>IF(OR(H49="—",I49=""),"—",IF(H49=I49,"No","Sí"))</f>
        <v/>
      </c>
      <c r="K49" s="11" t="inlineStr">
        <is>
          <t>Luzzi</t>
        </is>
      </c>
      <c r="L49" s="12" t="n">
        <v>46307</v>
      </c>
      <c r="M49" s="11" t="n"/>
      <c r="N49" s="11" t="inlineStr">
        <is>
          <t>Nivel 1 durante 30 s, con Pacman comiendo esferas grandes: no se destruyó ninguna pared.</t>
        </is>
      </c>
    </row>
    <row r="50" ht="29.4" customHeight="1">
      <c r="A50" s="6" t="inlineStr">
        <is>
          <t>CP-103</t>
        </is>
      </c>
      <c r="B50" s="7" t="inlineStr">
        <is>
          <t>Nuevo (V2)</t>
        </is>
      </c>
      <c r="C50" s="8" t="inlineStr">
        <is>
          <t>E8</t>
        </is>
      </c>
      <c r="D50" s="9" t="inlineStr">
        <is>
          <t>Media</t>
        </is>
      </c>
      <c r="E50" s="7" t="inlineStr">
        <is>
          <t>Paredes restablecidas al reiniciarse el nivel</t>
        </is>
      </c>
      <c r="F50" s="8" t="inlineStr">
        <is>
          <t>HU-33</t>
        </is>
      </c>
      <c r="G50" s="8" t="inlineStr">
        <is>
          <t>No</t>
        </is>
      </c>
      <c r="H50" s="8" t="inlineStr">
        <is>
          <t>—</t>
        </is>
      </c>
      <c r="I50" s="10" t="inlineStr">
        <is>
          <t>Aprobado</t>
        </is>
      </c>
      <c r="J50" s="8">
        <f>IF(OR(H50="—",I50=""),"—",IF(H50=I50,"No","Sí"))</f>
        <v/>
      </c>
      <c r="K50" s="11" t="inlineStr">
        <is>
          <t>Luzzi</t>
        </is>
      </c>
      <c r="L50" s="12" t="n">
        <v>46307</v>
      </c>
      <c r="M50" s="11" t="n"/>
      <c r="N50" s="11" t="inlineStr">
        <is>
          <t>Paredes rotas [[10, 5]]; tras la derrota de Pacman volvieron a existir.</t>
        </is>
      </c>
    </row>
    <row r="51" ht="42.59999999999999" customHeight="1">
      <c r="A51" s="6" t="inlineStr">
        <is>
          <t>CP-151</t>
        </is>
      </c>
      <c r="B51" s="7" t="inlineStr">
        <is>
          <t>Nuevo (V2)</t>
        </is>
      </c>
      <c r="C51" s="8" t="inlineStr">
        <is>
          <t>E8</t>
        </is>
      </c>
      <c r="D51" s="9" t="inlineStr">
        <is>
          <t>Media</t>
        </is>
      </c>
      <c r="E51" s="7" t="inlineStr">
        <is>
          <t>Pared destruida: visible y transitable para todos</t>
        </is>
      </c>
      <c r="F51" s="8" t="inlineStr">
        <is>
          <t>HU-33</t>
        </is>
      </c>
      <c r="G51" s="8" t="inlineStr">
        <is>
          <t>No</t>
        </is>
      </c>
      <c r="H51" s="8" t="inlineStr">
        <is>
          <t>—</t>
        </is>
      </c>
      <c r="I51" s="10" t="inlineStr">
        <is>
          <t>Aprobado</t>
        </is>
      </c>
      <c r="J51" s="8">
        <f>IF(OR(H51="—",I51=""),"—",IF(H51=I51,"No","Sí"))</f>
        <v/>
      </c>
      <c r="K51" s="11" t="inlineStr">
        <is>
          <t>Luzzi</t>
        </is>
      </c>
      <c r="L51" s="12" t="n">
        <v>46307</v>
      </c>
      <c r="M51" s="11" t="n"/>
      <c r="N51" s="11" t="inlineStr">
        <is>
          <t>Al romperse la pared (10,5) se vio el destello con escombros (captura); la celda quedó transitable y el fantasma del jugador pudo ocuparla.</t>
        </is>
      </c>
    </row>
    <row r="52" ht="29.4" customHeight="1">
      <c r="A52" s="6" t="inlineStr">
        <is>
          <t>CP-104</t>
        </is>
      </c>
      <c r="B52" s="7" t="inlineStr">
        <is>
          <t>Nuevo (V2)</t>
        </is>
      </c>
      <c r="C52" s="8" t="inlineStr">
        <is>
          <t>E8</t>
        </is>
      </c>
      <c r="D52" s="9" t="inlineStr">
        <is>
          <t>Media</t>
        </is>
      </c>
      <c r="E52" s="7" t="inlineStr">
        <is>
          <t>Más esferas grandes en el nivel 3</t>
        </is>
      </c>
      <c r="F52" s="8" t="inlineStr">
        <is>
          <t>HU-34</t>
        </is>
      </c>
      <c r="G52" s="8" t="inlineStr">
        <is>
          <t>Sí</t>
        </is>
      </c>
      <c r="H52" s="8" t="inlineStr">
        <is>
          <t>—</t>
        </is>
      </c>
      <c r="I52" s="10" t="inlineStr">
        <is>
          <t>Aprobado</t>
        </is>
      </c>
      <c r="J52" s="8">
        <f>IF(OR(H52="—",I52=""),"—",IF(H52=I52,"No","Sí"))</f>
        <v/>
      </c>
      <c r="K52" s="11" t="inlineStr">
        <is>
          <t>Luzzi</t>
        </is>
      </c>
      <c r="L52" s="12" t="n">
        <v>46307</v>
      </c>
      <c r="M52" s="11" t="n"/>
      <c r="N52" s="11" t="inlineStr">
        <is>
          <t>Esferas grandes al iniciar: nivel 1 = 4, nivel 2 = 4, nivel 3 = 6 (esquinas, (7,1) y (7,15)).</t>
        </is>
      </c>
    </row>
    <row r="53" ht="42.59999999999999" customHeight="1">
      <c r="A53" s="6" t="inlineStr">
        <is>
          <t>CP-105</t>
        </is>
      </c>
      <c r="B53" s="7" t="inlineStr">
        <is>
          <t>Nuevo (V2)</t>
        </is>
      </c>
      <c r="C53" s="8" t="inlineStr">
        <is>
          <t>E8</t>
        </is>
      </c>
      <c r="D53" s="9" t="inlineStr">
        <is>
          <t>Media</t>
        </is>
      </c>
      <c r="E53" s="7" t="inlineStr">
        <is>
          <t>Aparición dinámica de esferas grandes</t>
        </is>
      </c>
      <c r="F53" s="8" t="inlineStr">
        <is>
          <t>HU-34</t>
        </is>
      </c>
      <c r="G53" s="8" t="inlineStr">
        <is>
          <t>Sí</t>
        </is>
      </c>
      <c r="H53" s="8" t="inlineStr">
        <is>
          <t>—</t>
        </is>
      </c>
      <c r="I53" s="10" t="inlineStr">
        <is>
          <t>Aprobado</t>
        </is>
      </c>
      <c r="J53" s="8">
        <f>IF(OR(H53="—",I53=""),"—",IF(H53=I53,"No","Sí"))</f>
        <v/>
      </c>
      <c r="K53" s="11" t="inlineStr">
        <is>
          <t>Luzzi</t>
        </is>
      </c>
      <c r="L53" s="12" t="n">
        <v>46307</v>
      </c>
      <c r="M53" s="11" t="n"/>
      <c r="N53" s="11" t="inlineStr">
        <is>
          <t>A los 15 s apareció una esfera grande dinámica en [[3, 1]] (celda transitable). Con solo esa esfera pendiente el nivel no terminó: cuenta para completarlo. (Resto del mapa vaciado por script.)</t>
        </is>
      </c>
    </row>
    <row r="54" ht="55.8" customHeight="1">
      <c r="A54" s="6" t="inlineStr">
        <is>
          <t>CP-152</t>
        </is>
      </c>
      <c r="B54" s="7" t="inlineStr">
        <is>
          <t>Nuevo (V2)</t>
        </is>
      </c>
      <c r="C54" s="8" t="inlineStr">
        <is>
          <t>E4</t>
        </is>
      </c>
      <c r="D54" s="9" t="inlineStr">
        <is>
          <t>Alta</t>
        </is>
      </c>
      <c r="E54" s="7" t="inlineStr">
        <is>
          <t>Nivel 2: reaparición con cualquiera de los cuatro tipos</t>
        </is>
      </c>
      <c r="F54" s="8" t="inlineStr">
        <is>
          <t>HU-43</t>
        </is>
      </c>
      <c r="G54" s="8" t="inlineStr">
        <is>
          <t>Sí</t>
        </is>
      </c>
      <c r="H54" s="8" t="inlineStr">
        <is>
          <t>—</t>
        </is>
      </c>
      <c r="I54" s="10" t="inlineStr">
        <is>
          <t>Aprobado</t>
        </is>
      </c>
      <c r="J54" s="8">
        <f>IF(OR(H54="—",I54=""),"—",IF(H54=I54,"No","Sí"))</f>
        <v/>
      </c>
      <c r="K54" s="11" t="inlineStr">
        <is>
          <t>Luzzi</t>
        </is>
      </c>
      <c r="L54" s="12" t="n">
        <v>46307</v>
      </c>
      <c r="M54" s="11" t="n"/>
      <c r="N54" s="11" t="inlineStr">
        <is>
          <t>24 reapariciones en el nivel 2: {'classic': 11, 'specter': 3, 'jumper': 4, 'accelerated': 3, 'naval': 3} (13 con poderes). Aparecen los cuatro tipos. (Reapariciones forzadas por script; la proporción exacta del 50 % la verifica la suite automatizada con 1000 casos.)</t>
        </is>
      </c>
    </row>
    <row r="55" ht="29.4" customHeight="1">
      <c r="A55" s="6" t="inlineStr">
        <is>
          <t>CP-153</t>
        </is>
      </c>
      <c r="B55" s="7" t="inlineStr">
        <is>
          <t>Nuevo (V2)</t>
        </is>
      </c>
      <c r="C55" s="8" t="inlineStr">
        <is>
          <t>E4</t>
        </is>
      </c>
      <c r="D55" s="9" t="inlineStr">
        <is>
          <t>Alta</t>
        </is>
      </c>
      <c r="E55" s="7" t="inlineStr">
        <is>
          <t>Nivel 3: uno de cada tipo con poderes</t>
        </is>
      </c>
      <c r="F55" s="8" t="inlineStr">
        <is>
          <t>HU-43</t>
        </is>
      </c>
      <c r="G55" s="8" t="inlineStr">
        <is>
          <t>Sí</t>
        </is>
      </c>
      <c r="H55" s="8" t="inlineStr">
        <is>
          <t>—</t>
        </is>
      </c>
      <c r="I55" s="10" t="inlineStr">
        <is>
          <t>Aprobado</t>
        </is>
      </c>
      <c r="J55" s="8">
        <f>IF(OR(H55="—",I55=""),"—",IF(H55=I55,"No","Sí"))</f>
        <v/>
      </c>
      <c r="K55" s="11" t="inlineStr">
        <is>
          <t>Luzzi</t>
        </is>
      </c>
      <c r="L55" s="12" t="n">
        <v>46307</v>
      </c>
      <c r="M55" s="11" t="n"/>
      <c r="N55" s="11" t="inlineStr">
        <is>
          <t>Al iniciar el nivel 3: ['specter', 'jumper', 'naval', 'accelerated']. El fantasma comido reapareció como naval.</t>
        </is>
      </c>
    </row>
    <row r="56" ht="42.59999999999999" customHeight="1">
      <c r="A56" s="6" t="inlineStr">
        <is>
          <t>CP-154</t>
        </is>
      </c>
      <c r="B56" s="7" t="inlineStr">
        <is>
          <t>Nuevo (V2)</t>
        </is>
      </c>
      <c r="C56" s="8" t="inlineStr">
        <is>
          <t>E4</t>
        </is>
      </c>
      <c r="D56" s="9" t="inlineStr">
        <is>
          <t>Media</t>
        </is>
      </c>
      <c r="E56" s="7" t="inlineStr">
        <is>
          <t>Tipos distinguibles entre sí</t>
        </is>
      </c>
      <c r="F56" s="8" t="inlineStr">
        <is>
          <t>HU-43</t>
        </is>
      </c>
      <c r="G56" s="8" t="inlineStr">
        <is>
          <t>No</t>
        </is>
      </c>
      <c r="H56" s="8" t="inlineStr">
        <is>
          <t>—</t>
        </is>
      </c>
      <c r="I56" s="10" t="inlineStr">
        <is>
          <t>Aprobado</t>
        </is>
      </c>
      <c r="J56" s="8">
        <f>IF(OR(H56="—",I56=""),"—",IF(H56=I56,"No","Sí"))</f>
        <v/>
      </c>
      <c r="K56" s="11" t="inlineStr">
        <is>
          <t>Luzzi</t>
        </is>
      </c>
      <c r="L56" s="12" t="n">
        <v>46307</v>
      </c>
      <c r="M56" s="11" t="n"/>
      <c r="N56" s="11" t="inlineStr">
        <is>
          <t>Los cuatro tipos se ven distintos: espectro translúcido con contorno blanco, saltarín con chevron, naval con onda y acelerado con doble chevron (captura CP-154.png); el clásico del nivel 1 no lleva marca.</t>
        </is>
      </c>
    </row>
    <row r="57" ht="29.4" customHeight="1">
      <c r="A57" s="6" t="inlineStr">
        <is>
          <t>CP-155</t>
        </is>
      </c>
      <c r="B57" s="7" t="inlineStr">
        <is>
          <t>Nuevo (V2)</t>
        </is>
      </c>
      <c r="C57" s="8" t="inlineStr">
        <is>
          <t>E4</t>
        </is>
      </c>
      <c r="D57" s="9" t="inlineStr">
        <is>
          <t>Media</t>
        </is>
      </c>
      <c r="E57" s="7" t="inlineStr">
        <is>
          <t>Saltarín de la IA</t>
        </is>
      </c>
      <c r="F57" s="8" t="inlineStr">
        <is>
          <t>HU-43</t>
        </is>
      </c>
      <c r="G57" s="8" t="inlineStr">
        <is>
          <t>No</t>
        </is>
      </c>
      <c r="H57" s="8" t="inlineStr">
        <is>
          <t>—</t>
        </is>
      </c>
      <c r="I57" s="10" t="inlineStr">
        <is>
          <t>Aprobado</t>
        </is>
      </c>
      <c r="J57" s="8">
        <f>IF(OR(H57="—",I57=""),"—",IF(H57=I57,"No","Sí"))</f>
        <v/>
      </c>
      <c r="K57" s="11" t="inlineStr">
        <is>
          <t>Luzzi</t>
        </is>
      </c>
      <c r="L57" s="12" t="n">
        <v>46307</v>
      </c>
      <c r="M57" s="11" t="n"/>
      <c r="N57" s="11" t="inlineStr">
        <is>
          <t>Con Pacman a 6 celdas el saltarín saltó de (13,4) a (7,6) (distancia 8); 5 s después seguía en cooldown (4.8 s).</t>
        </is>
      </c>
    </row>
    <row r="58" ht="55.8" customHeight="1">
      <c r="A58" s="6" t="inlineStr">
        <is>
          <t>CP-156</t>
        </is>
      </c>
      <c r="B58" s="7" t="inlineStr">
        <is>
          <t>Nuevo (V2)</t>
        </is>
      </c>
      <c r="C58" s="8" t="inlineStr">
        <is>
          <t>E4</t>
        </is>
      </c>
      <c r="D58" s="9" t="inlineStr">
        <is>
          <t>Media</t>
        </is>
      </c>
      <c r="E58" s="7" t="inlineStr">
        <is>
          <t>Naval de la IA</t>
        </is>
      </c>
      <c r="F58" s="8" t="inlineStr">
        <is>
          <t>HU-43</t>
        </is>
      </c>
      <c r="G58" s="8" t="inlineStr">
        <is>
          <t>No</t>
        </is>
      </c>
      <c r="H58" s="8" t="inlineStr">
        <is>
          <t>—</t>
        </is>
      </c>
      <c r="I58" s="10" t="inlineStr">
        <is>
          <t>Aprobado</t>
        </is>
      </c>
      <c r="J58" s="8">
        <f>IF(OR(H58="—",I58=""),"—",IF(H58=I58,"No","Sí"))</f>
        <v/>
      </c>
      <c r="K58" s="11" t="inlineStr">
        <is>
          <t>Luzzi</t>
        </is>
      </c>
      <c r="L58" s="12" t="n">
        <v>46307</v>
      </c>
      <c r="M58" s="11" t="n"/>
      <c r="N58" s="11" t="inlineStr">
        <is>
          <t>En 16 s el naval colocó frutas falsas en t = [-0.4, 4.5, 9.6, 14.6] s (separaciones [4.9, 5.1, 5.0] s: una cada 5 s, al volver el cooldown); como máximo hubo 2 en el mapa a la vez. (Contacto con Pacman anulado por script para que no se reinicie el nivel.)</t>
        </is>
      </c>
    </row>
    <row r="59" ht="29.4" customHeight="1">
      <c r="A59" s="6" t="inlineStr">
        <is>
          <t>CP-157</t>
        </is>
      </c>
      <c r="B59" s="7" t="inlineStr">
        <is>
          <t>Nuevo (V2)</t>
        </is>
      </c>
      <c r="C59" s="8" t="inlineStr">
        <is>
          <t>E4</t>
        </is>
      </c>
      <c r="D59" s="9" t="inlineStr">
        <is>
          <t>Media</t>
        </is>
      </c>
      <c r="E59" s="7" t="inlineStr">
        <is>
          <t>Acelerado de la IA</t>
        </is>
      </c>
      <c r="F59" s="8" t="inlineStr">
        <is>
          <t>HU-43</t>
        </is>
      </c>
      <c r="G59" s="8" t="inlineStr">
        <is>
          <t>No</t>
        </is>
      </c>
      <c r="H59" s="8" t="inlineStr">
        <is>
          <t>—</t>
        </is>
      </c>
      <c r="I59" s="10" t="inlineStr">
        <is>
          <t>Aprobado</t>
        </is>
      </c>
      <c r="J59" s="8">
        <f>IF(OR(H59="—",I59=""),"—",IF(H59=I59,"No","Sí"))</f>
        <v/>
      </c>
      <c r="K59" s="11" t="inlineStr">
        <is>
          <t>Luzzi</t>
        </is>
      </c>
      <c r="L59" s="12" t="n">
        <v>46307</v>
      </c>
      <c r="M59" s="11" t="n"/>
      <c r="N59" s="11" t="inlineStr">
        <is>
          <t>Con Pacman a 5 celdas el acelerado hizo el dash: velocidad 2.5 celdas/s durante 4.9 s y cooldown 9.9 s.</t>
        </is>
      </c>
    </row>
    <row r="60" ht="29.4" customHeight="1">
      <c r="A60" s="6" t="inlineStr">
        <is>
          <t>CP-158</t>
        </is>
      </c>
      <c r="B60" s="7" t="inlineStr">
        <is>
          <t>Nuevo (V2)</t>
        </is>
      </c>
      <c r="C60" s="8" t="inlineStr">
        <is>
          <t>E4</t>
        </is>
      </c>
      <c r="D60" s="9" t="inlineStr">
        <is>
          <t>Alta</t>
        </is>
      </c>
      <c r="E60" s="7" t="inlineStr">
        <is>
          <t>Ningún fantasma vulnerable usa su poder</t>
        </is>
      </c>
      <c r="F60" s="8" t="inlineStr">
        <is>
          <t>HU-43</t>
        </is>
      </c>
      <c r="G60" s="8" t="inlineStr">
        <is>
          <t>No</t>
        </is>
      </c>
      <c r="H60" s="8" t="inlineStr">
        <is>
          <t>—</t>
        </is>
      </c>
      <c r="I60" s="10" t="inlineStr">
        <is>
          <t>Aprobado</t>
        </is>
      </c>
      <c r="J60" s="8">
        <f>IF(OR(H60="—",I60=""),"—",IF(H60=I60,"No","Sí"))</f>
        <v/>
      </c>
      <c r="K60" s="11" t="inlineStr">
        <is>
          <t>Luzzi</t>
        </is>
      </c>
      <c r="L60" s="12" t="n">
        <v>46307</v>
      </c>
      <c r="M60" s="11" t="n"/>
      <c r="N60" s="11" t="inlineStr">
        <is>
          <t>Con los cuatro tipos vulnerables durante 6 s (PowerUp prolongado por script), ninguno usó su poder: sin saltos, frutas, dashes ni cruces.</t>
        </is>
      </c>
      <c r="P60" s="4" t="inlineStr">
        <is>
          <t>Resumen por tipo de prueba (sección 12.4)</t>
        </is>
      </c>
      <c r="Q60" s="5" t="n"/>
      <c r="R60" s="5" t="n"/>
      <c r="S60" s="5" t="n"/>
      <c r="T60" s="5" t="n"/>
      <c r="U60" s="5" t="n"/>
      <c r="V60" s="5" t="n"/>
    </row>
    <row r="61" ht="28" customHeight="1">
      <c r="A61" s="6" t="inlineStr">
        <is>
          <t>CP-159</t>
        </is>
      </c>
      <c r="B61" s="7" t="inlineStr">
        <is>
          <t>Nuevo (V2)</t>
        </is>
      </c>
      <c r="C61" s="8" t="inlineStr">
        <is>
          <t>E4</t>
        </is>
      </c>
      <c r="D61" s="9" t="inlineStr">
        <is>
          <t>Alta</t>
        </is>
      </c>
      <c r="E61" s="7" t="inlineStr">
        <is>
          <t>El nivel 1 no cambia</t>
        </is>
      </c>
      <c r="F61" s="8" t="inlineStr">
        <is>
          <t>HU-43</t>
        </is>
      </c>
      <c r="G61" s="8" t="inlineStr">
        <is>
          <t>No</t>
        </is>
      </c>
      <c r="H61" s="8" t="inlineStr">
        <is>
          <t>—</t>
        </is>
      </c>
      <c r="I61" s="10" t="inlineStr">
        <is>
          <t>Aprobado</t>
        </is>
      </c>
      <c r="J61" s="8">
        <f>IF(OR(H61="—",I61=""),"—",IF(H61=I61,"No","Sí"))</f>
        <v/>
      </c>
      <c r="K61" s="11" t="inlineStr">
        <is>
          <t>Luzzi</t>
        </is>
      </c>
      <c r="L61" s="12" t="n">
        <v>46307</v>
      </c>
      <c r="M61" s="11" t="n"/>
      <c r="N61" s="11" t="inlineStr">
        <is>
          <t>Nivel 1: 8 reapariciones, todas clásicas; en 10 s no apareció ninguna fruta falsa.</t>
        </is>
      </c>
      <c r="P61" s="16" t="inlineStr">
        <is>
          <t>Tipo de prueba</t>
        </is>
      </c>
      <c r="Q61" s="16" t="inlineStr">
        <is>
          <t>Diseñados</t>
        </is>
      </c>
      <c r="R61" s="16" t="inlineStr">
        <is>
          <t>Ejecutados</t>
        </is>
      </c>
      <c r="S61" s="16" t="inlineStr">
        <is>
          <t>Aprobados</t>
        </is>
      </c>
      <c r="T61" s="16" t="inlineStr">
        <is>
          <t>Fallidos</t>
        </is>
      </c>
      <c r="U61" s="16" t="inlineStr">
        <is>
          <t>Bloqueados</t>
        </is>
      </c>
      <c r="V61" s="16" t="inlineStr">
        <is>
          <t>Tasa de aprobación</t>
        </is>
      </c>
    </row>
    <row r="62" ht="29.4" customHeight="1">
      <c r="A62" s="6" t="inlineStr">
        <is>
          <t>CP-160</t>
        </is>
      </c>
      <c r="B62" s="7" t="inlineStr">
        <is>
          <t>Nuevo (V2)</t>
        </is>
      </c>
      <c r="C62" s="8" t="inlineStr">
        <is>
          <t>E6</t>
        </is>
      </c>
      <c r="D62" s="9" t="inlineStr">
        <is>
          <t>Alta</t>
        </is>
      </c>
      <c r="E62" s="7" t="inlineStr">
        <is>
          <t>Pacman huye de un fantasma cercano (decisión 17)</t>
        </is>
      </c>
      <c r="F62" s="8" t="inlineStr">
        <is>
          <t>HU-24</t>
        </is>
      </c>
      <c r="G62" s="8" t="inlineStr">
        <is>
          <t>No</t>
        </is>
      </c>
      <c r="H62" s="8" t="inlineStr">
        <is>
          <t>—</t>
        </is>
      </c>
      <c r="I62" s="10" t="inlineStr">
        <is>
          <t>Aprobado</t>
        </is>
      </c>
      <c r="J62" s="8">
        <f>IF(OR(H62="—",I62=""),"—",IF(H62=I62,"No","Sí"))</f>
        <v/>
      </c>
      <c r="K62" s="11" t="inlineStr">
        <is>
          <t>Luzzi</t>
        </is>
      </c>
      <c r="L62" s="12" t="n">
        <v>46307</v>
      </c>
      <c r="M62" s="11" t="n"/>
      <c r="N62" s="11" t="inlineStr">
        <is>
          <t>El fantasma avanzó por la fila 7 hacia Pacman; Pacman cambió de dirección y mantuvo la distancia (mínima 2.6 celdas, no lo alcanzó).</t>
        </is>
      </c>
      <c r="P62" s="7" t="inlineStr">
        <is>
          <t>Casos nuevos de la V2</t>
        </is>
      </c>
      <c r="Q62" s="8">
        <f>COUNTIF($B$4:$B$103,"Nuevo (V2)")</f>
        <v/>
      </c>
      <c r="R62" s="8">
        <f>COUNTIFS($B$4:$B$103,"Nuevo (V2)",$I$4:$I$103,"Aprobado")+COUNTIFS($B$4:$B$103,"Nuevo (V2)",$I$4:$I$103,"Fallido")</f>
        <v/>
      </c>
      <c r="S62" s="8">
        <f>COUNTIFS($B$4:$B$103,"Nuevo (V2)",$I$4:$I$103,"Aprobado")</f>
        <v/>
      </c>
      <c r="T62" s="8">
        <f>COUNTIFS($B$4:$B$103,"Nuevo (V2)",$I$4:$I$103,"Fallido")</f>
        <v/>
      </c>
      <c r="U62" s="8">
        <f>COUNTIFS($B$4:$B$103,"Nuevo (V2)",$I$4:$I$103,"Bloqueado")</f>
        <v/>
      </c>
      <c r="V62" s="17">
        <f>IFERROR(S62/R62,0)</f>
        <v/>
      </c>
    </row>
    <row r="63" ht="29.4" customHeight="1">
      <c r="A63" s="6" t="inlineStr">
        <is>
          <t>CP-161</t>
        </is>
      </c>
      <c r="B63" s="7" t="inlineStr">
        <is>
          <t>Nuevo (V2)</t>
        </is>
      </c>
      <c r="C63" s="8" t="inlineStr">
        <is>
          <t>E6</t>
        </is>
      </c>
      <c r="D63" s="9" t="inlineStr">
        <is>
          <t>Media</t>
        </is>
      </c>
      <c r="E63" s="7" t="inlineStr">
        <is>
          <t>Pacman persigue fantasmas vulnerables (decisión 17)</t>
        </is>
      </c>
      <c r="F63" s="8" t="inlineStr">
        <is>
          <t>HU-24</t>
        </is>
      </c>
      <c r="G63" s="8" t="inlineStr">
        <is>
          <t>No</t>
        </is>
      </c>
      <c r="H63" s="8" t="inlineStr">
        <is>
          <t>—</t>
        </is>
      </c>
      <c r="I63" s="10" t="inlineStr">
        <is>
          <t>Aprobado</t>
        </is>
      </c>
      <c r="J63" s="8">
        <f>IF(OR(H63="—",I63=""),"—",IF(H63=I63,"No","Sí"))</f>
        <v/>
      </c>
      <c r="K63" s="11" t="inlineStr">
        <is>
          <t>Luzzi</t>
        </is>
      </c>
      <c r="L63" s="12" t="n">
        <v>46307</v>
      </c>
      <c r="M63" s="11" t="n"/>
      <c r="N63" s="11" t="inlineStr">
        <is>
          <t>Con PowerUp activo y el fantasma quieto a 5 celdas, Pacman fue hacia él y lo comió en 1.0 s.</t>
        </is>
      </c>
      <c r="P63" s="7" t="inlineStr">
        <is>
          <t>Regresión de la V1 (Alta, mutados)</t>
        </is>
      </c>
      <c r="Q63" s="8">
        <f>COUNTIF($B$4:$B$103,"Regresión*")</f>
        <v/>
      </c>
      <c r="R63" s="8">
        <f>COUNTIFS($B$4:$B$103,"Regresión*",$I$4:$I$103,"Aprobado")+COUNTIFS($B$4:$B$103,"Regresión*",$I$4:$I$103,"Fallido")</f>
        <v/>
      </c>
      <c r="S63" s="8">
        <f>COUNTIFS($B$4:$B$103,"Regresión*",$I$4:$I$103,"Aprobado")</f>
        <v/>
      </c>
      <c r="T63" s="8">
        <f>COUNTIFS($B$4:$B$103,"Regresión*",$I$4:$I$103,"Fallido")</f>
        <v/>
      </c>
      <c r="U63" s="8">
        <f>COUNTIFS($B$4:$B$103,"Regresión*",$I$4:$I$103,"Bloqueado")</f>
        <v/>
      </c>
      <c r="V63" s="17">
        <f>IFERROR(S63/R63,0)</f>
        <v/>
      </c>
    </row>
    <row r="64" ht="29.4" customHeight="1">
      <c r="A64" s="6" t="inlineStr">
        <is>
          <t>CP-162</t>
        </is>
      </c>
      <c r="B64" s="7" t="inlineStr">
        <is>
          <t>Nuevo (V2)</t>
        </is>
      </c>
      <c r="C64" s="8" t="inlineStr">
        <is>
          <t>E6</t>
        </is>
      </c>
      <c r="D64" s="9" t="inlineStr">
        <is>
          <t>Media</t>
        </is>
      </c>
      <c r="E64" s="7" t="inlineStr">
        <is>
          <t>Pacman va hacia una fruta falsa cercana (decisión 17)</t>
        </is>
      </c>
      <c r="F64" s="8" t="inlineStr">
        <is>
          <t>HU-24</t>
        </is>
      </c>
      <c r="G64" s="8" t="inlineStr">
        <is>
          <t>No</t>
        </is>
      </c>
      <c r="H64" s="8" t="inlineStr">
        <is>
          <t>—</t>
        </is>
      </c>
      <c r="I64" s="10" t="inlineStr">
        <is>
          <t>Aprobado</t>
        </is>
      </c>
      <c r="J64" s="8">
        <f>IF(OR(H64="—",I64=""),"—",IF(H64=I64,"No","Sí"))</f>
        <v/>
      </c>
      <c r="K64" s="11" t="inlineStr">
        <is>
          <t>Luzzi</t>
        </is>
      </c>
      <c r="L64" s="12" t="n">
        <v>46307</v>
      </c>
      <c r="M64" s="11" t="n"/>
      <c r="N64" s="11" t="inlineStr">
        <is>
          <t>Fruta falsa a 3 celdas: Pacman fue por ella, la consumió y perdió una vida (3 → 2). (Fruta ubicada por script.)</t>
        </is>
      </c>
      <c r="P64" s="7" t="inlineStr">
        <is>
          <t>Re-ejecución de casos bloqueados</t>
        </is>
      </c>
      <c r="Q64" s="8">
        <f>COUNTIF($B$4:$B$103,"Re-ejecución*")</f>
        <v/>
      </c>
      <c r="R64" s="8">
        <f>COUNTIFS($B$4:$B$103,"Re-ejecución*",$I$4:$I$103,"Aprobado")+COUNTIFS($B$4:$B$103,"Re-ejecución*",$I$4:$I$103,"Fallido")</f>
        <v/>
      </c>
      <c r="S64" s="8">
        <f>COUNTIFS($B$4:$B$103,"Re-ejecución*",$I$4:$I$103,"Aprobado")</f>
        <v/>
      </c>
      <c r="T64" s="8">
        <f>COUNTIFS($B$4:$B$103,"Re-ejecución*",$I$4:$I$103,"Fallido")</f>
        <v/>
      </c>
      <c r="U64" s="8">
        <f>COUNTIFS($B$4:$B$103,"Re-ejecución*",$I$4:$I$103,"Bloqueado")</f>
        <v/>
      </c>
      <c r="V64" s="17">
        <f>IFERROR(S64/R64,0)</f>
        <v/>
      </c>
    </row>
    <row r="65" ht="29.4" customHeight="1">
      <c r="A65" s="6" t="inlineStr">
        <is>
          <t>CP-163</t>
        </is>
      </c>
      <c r="B65" s="7" t="inlineStr">
        <is>
          <t>Nuevo (V2)</t>
        </is>
      </c>
      <c r="C65" s="8" t="inlineStr">
        <is>
          <t>E6</t>
        </is>
      </c>
      <c r="D65" s="9" t="inlineStr">
        <is>
          <t>Alta</t>
        </is>
      </c>
      <c r="E65" s="7" t="inlineStr">
        <is>
          <t>Volver a jugar y Menú principal (decisión 29)</t>
        </is>
      </c>
      <c r="F65" s="8" t="inlineStr">
        <is>
          <t>HU-19</t>
        </is>
      </c>
      <c r="G65" s="8" t="inlineStr">
        <is>
          <t>Sí</t>
        </is>
      </c>
      <c r="H65" s="8" t="inlineStr">
        <is>
          <t>—</t>
        </is>
      </c>
      <c r="I65" s="10" t="inlineStr">
        <is>
          <t>Aprobado</t>
        </is>
      </c>
      <c r="J65" s="8">
        <f>IF(OR(H65="—",I65=""),"—",IF(H65=I65,"No","Sí"))</f>
        <v/>
      </c>
      <c r="K65" s="11" t="inlineStr">
        <is>
          <t>Luzzi</t>
        </is>
      </c>
      <c r="L65" s="12" t="n">
        <v>46307</v>
      </c>
      <c r="M65" s="11" t="n"/>
      <c r="N65" s="11" t="inlineStr">
        <is>
          <t>«Volver a jugar» repitió modo GhostMan con el Saltarín, nivel 1, 3 vidas de Pacman, puntaje 0; «Menú principal» volvió al menú.</t>
        </is>
      </c>
      <c r="P65" s="7" t="inlineStr">
        <is>
          <t>Confirmación de defectos</t>
        </is>
      </c>
      <c r="Q65" s="8">
        <f>COUNTIF($B$4:$B$103,"Confirmación*")</f>
        <v/>
      </c>
      <c r="R65" s="8">
        <f>COUNTIFS($B$4:$B$103,"Confirmación*",$I$4:$I$103,"Aprobado")+COUNTIFS($B$4:$B$103,"Confirmación*",$I$4:$I$103,"Fallido")</f>
        <v/>
      </c>
      <c r="S65" s="8">
        <f>COUNTIFS($B$4:$B$103,"Confirmación*",$I$4:$I$103,"Aprobado")</f>
        <v/>
      </c>
      <c r="T65" s="8">
        <f>COUNTIFS($B$4:$B$103,"Confirmación*",$I$4:$I$103,"Fallido")</f>
        <v/>
      </c>
      <c r="U65" s="8">
        <f>COUNTIFS($B$4:$B$103,"Confirmación*",$I$4:$I$103,"Bloqueado")</f>
        <v/>
      </c>
      <c r="V65" s="17">
        <f>IFERROR(S65/R65,0)</f>
        <v/>
      </c>
    </row>
    <row r="66" ht="55.8" customHeight="1">
      <c r="A66" s="6" t="inlineStr">
        <is>
          <t>CP-001</t>
        </is>
      </c>
      <c r="B66" s="7" t="inlineStr">
        <is>
          <t>Regresión (V1, mutado)</t>
        </is>
      </c>
      <c r="C66" s="8" t="inlineStr">
        <is>
          <t>E1</t>
        </is>
      </c>
      <c r="D66" s="9" t="inlineStr">
        <is>
          <t>Alta</t>
        </is>
      </c>
      <c r="E66" s="7" t="inlineStr">
        <is>
          <t>Movimiento de Pacman con las flechas</t>
        </is>
      </c>
      <c r="F66" s="8" t="inlineStr">
        <is>
          <t>HU-01</t>
        </is>
      </c>
      <c r="G66" s="8" t="inlineStr">
        <is>
          <t>Sí</t>
        </is>
      </c>
      <c r="H66" s="8" t="inlineStr">
        <is>
          <t>Aprobado</t>
        </is>
      </c>
      <c r="I66" s="10" t="inlineStr">
        <is>
          <t>Aprobado</t>
        </is>
      </c>
      <c r="J66" s="8">
        <f>IF(OR(H66="—",I66=""),"—",IF(H66=I66,"No","Sí"))</f>
        <v/>
      </c>
      <c r="K66" s="11" t="inlineStr">
        <is>
          <t>Luzzi</t>
        </is>
      </c>
      <c r="L66" s="12" t="n">
        <v>46307</v>
      </c>
      <c r="M66" s="11" t="n"/>
      <c r="N66" s="11" t="inlineStr">
        <is>
          <t>Mutación: Secuencia invertida: ↓ → ↑ ← (la V1 usó ← ↑ → ↓). Desde el cruce (4,6), ↓ → ↑ ← desplazaron a Pacman hacia abajo, derecha, arriba e izquierda respectivamente. (Fantasmas retirados y posiciones preparadas por script para aislar la condición.)</t>
        </is>
      </c>
      <c r="P66" s="18" t="inlineStr">
        <is>
          <t>Total</t>
        </is>
      </c>
      <c r="Q66" s="19">
        <f>SUM(Q62:Q65)</f>
        <v/>
      </c>
      <c r="R66" s="19">
        <f>SUM(R62:R65)</f>
        <v/>
      </c>
      <c r="S66" s="19">
        <f>SUM(S62:S65)</f>
        <v/>
      </c>
      <c r="T66" s="19">
        <f>SUM(T62:T65)</f>
        <v/>
      </c>
      <c r="U66" s="19">
        <f>SUM(U62:U65)</f>
        <v/>
      </c>
      <c r="V66" s="20">
        <f>IFERROR(S66/R66,0)</f>
        <v/>
      </c>
    </row>
    <row r="67" ht="55.8" customHeight="1">
      <c r="A67" s="6" t="inlineStr">
        <is>
          <t>CP-002</t>
        </is>
      </c>
      <c r="B67" s="7" t="inlineStr">
        <is>
          <t>Regresión (V1, mutado)</t>
        </is>
      </c>
      <c r="C67" s="8" t="inlineStr">
        <is>
          <t>E1</t>
        </is>
      </c>
      <c r="D67" s="9" t="inlineStr">
        <is>
          <t>Alta</t>
        </is>
      </c>
      <c r="E67" s="7" t="inlineStr">
        <is>
          <t>Movimiento de Pacman con WASD</t>
        </is>
      </c>
      <c r="F67" s="8" t="inlineStr">
        <is>
          <t>HU-01</t>
        </is>
      </c>
      <c r="G67" s="8" t="inlineStr">
        <is>
          <t>Sí</t>
        </is>
      </c>
      <c r="H67" s="8" t="inlineStr">
        <is>
          <t>Aprobado</t>
        </is>
      </c>
      <c r="I67" s="10" t="inlineStr">
        <is>
          <t>Aprobado</t>
        </is>
      </c>
      <c r="J67" s="8">
        <f>IF(OR(H67="—",I67=""),"—",IF(H67=I67,"No","Sí"))</f>
        <v/>
      </c>
      <c r="K67" s="11" t="inlineStr">
        <is>
          <t>Luzzi</t>
        </is>
      </c>
      <c r="L67" s="12" t="n">
        <v>46307</v>
      </c>
      <c r="M67" s="11" t="n"/>
      <c r="N67" s="11" t="inlineStr">
        <is>
          <t>Mutación: Secuencia invertida: S D W A. S D W A produjeron el mismo desplazamiento que ↓ → ↑ ← (abajo, derecha, arriba, izquierda). (Fantasmas retirados y posiciones preparadas por script para aislar la condición.)</t>
        </is>
      </c>
    </row>
    <row r="68" ht="69" customHeight="1">
      <c r="A68" s="6" t="inlineStr">
        <is>
          <t>CP-003</t>
        </is>
      </c>
      <c r="B68" s="7" t="inlineStr">
        <is>
          <t>Regresión (V1, mutado)</t>
        </is>
      </c>
      <c r="C68" s="8" t="inlineStr">
        <is>
          <t>E1</t>
        </is>
      </c>
      <c r="D68" s="9" t="inlineStr">
        <is>
          <t>Alta</t>
        </is>
      </c>
      <c r="E68" s="7" t="inlineStr">
        <is>
          <t>Avance continuo sin mantener la tecla</t>
        </is>
      </c>
      <c r="F68" s="8" t="inlineStr">
        <is>
          <t>HU-01</t>
        </is>
      </c>
      <c r="G68" s="8" t="inlineStr">
        <is>
          <t>Sí</t>
        </is>
      </c>
      <c r="H68" s="8" t="inlineStr">
        <is>
          <t>Aprobado</t>
        </is>
      </c>
      <c r="I68" s="10" t="inlineStr">
        <is>
          <t>Aprobado</t>
        </is>
      </c>
      <c r="J68" s="8">
        <f>IF(OR(H68="—",I68=""),"—",IF(H68=I68,"No","Sí"))</f>
        <v/>
      </c>
      <c r="K68" s="11" t="inlineStr">
        <is>
          <t>Luzzi</t>
        </is>
      </c>
      <c r="L68" s="12" t="n">
        <v>46307</v>
      </c>
      <c r="M68" s="11" t="n"/>
      <c r="N68" s="11" t="inlineStr">
        <is>
          <t>Mutación: Se usa la dirección ↓ desde una celda distinta a la de la V1 (fila 10). Tras un toque de ↓ en (10,6), Pacman siguió bajando sin mantener la tecla hasta el muro inferior (fila 13) y se detuvo ahí. (Fantasmas retirados y posiciones preparadas por script para aislar la condición.)</t>
        </is>
      </c>
      <c r="P68" s="4" t="inlineStr">
        <is>
          <t>Indicadores</t>
        </is>
      </c>
      <c r="Q68" s="5" t="n"/>
      <c r="R68" s="5" t="n"/>
      <c r="S68" s="5" t="n"/>
    </row>
    <row r="69" ht="55.8" customHeight="1">
      <c r="A69" s="6" t="inlineStr">
        <is>
          <t>CP-005</t>
        </is>
      </c>
      <c r="B69" s="7" t="inlineStr">
        <is>
          <t>Regresión (V1, mutado)</t>
        </is>
      </c>
      <c r="C69" s="8" t="inlineStr">
        <is>
          <t>E1</t>
        </is>
      </c>
      <c r="D69" s="9" t="inlineStr">
        <is>
          <t>Alta</t>
        </is>
      </c>
      <c r="E69" s="7" t="inlineStr">
        <is>
          <t>Dirección bloqueada por un muro</t>
        </is>
      </c>
      <c r="F69" s="8" t="inlineStr">
        <is>
          <t>HU-01</t>
        </is>
      </c>
      <c r="G69" s="8" t="inlineStr">
        <is>
          <t>No</t>
        </is>
      </c>
      <c r="H69" s="8" t="inlineStr">
        <is>
          <t>Aprobado</t>
        </is>
      </c>
      <c r="I69" s="10" t="inlineStr">
        <is>
          <t>Aprobado</t>
        </is>
      </c>
      <c r="J69" s="8">
        <f>IF(OR(H69="—",I69=""),"—",IF(H69=I69,"No","Sí"))</f>
        <v/>
      </c>
      <c r="K69" s="11" t="inlineStr">
        <is>
          <t>Luzzi</t>
        </is>
      </c>
      <c r="L69" s="12" t="n">
        <v>46307</v>
      </c>
      <c r="M69" s="11" t="n"/>
      <c r="N69" s="11" t="inlineStr">
        <is>
          <t>Mutación: Se ejecuta en la fila 10 con ↓ bloqueado, en lugar de ↑. Avanzando a la derecha por la fila 10 con muro debajo (11,2), ↓ no lo detuvo: siguió hacia la derecha (posición 2.68). (Fantasmas retirados y posiciones preparadas por script para aislar la condición.)</t>
        </is>
      </c>
      <c r="P69" s="13" t="inlineStr">
        <is>
          <t>Avance de la ejecución (ejecutados / diseñados)</t>
        </is>
      </c>
      <c r="Q69" s="17">
        <f>IFERROR(R66/Q66,0)</f>
        <v/>
      </c>
    </row>
    <row r="70" ht="69" customHeight="1">
      <c r="A70" s="6" t="inlineStr">
        <is>
          <t>CP-007</t>
        </is>
      </c>
      <c r="B70" s="7" t="inlineStr">
        <is>
          <t>Regresión (V1, mutado)</t>
        </is>
      </c>
      <c r="C70" s="8" t="inlineStr">
        <is>
          <t>E1</t>
        </is>
      </c>
      <c r="D70" s="9" t="inlineStr">
        <is>
          <t>Alta</t>
        </is>
      </c>
      <c r="E70" s="7" t="inlineStr">
        <is>
          <t>Pacman no atraviesa los muros</t>
        </is>
      </c>
      <c r="F70" s="8" t="inlineStr">
        <is>
          <t>HU-02</t>
        </is>
      </c>
      <c r="G70" s="8" t="inlineStr">
        <is>
          <t>No</t>
        </is>
      </c>
      <c r="H70" s="8" t="inlineStr">
        <is>
          <t>Aprobado</t>
        </is>
      </c>
      <c r="I70" s="10" t="inlineStr">
        <is>
          <t>Aprobado</t>
        </is>
      </c>
      <c r="J70" s="8">
        <f>IF(OR(H70="—",I70=""),"—",IF(H70=I70,"No","Sí"))</f>
        <v/>
      </c>
      <c r="K70" s="11" t="inlineStr">
        <is>
          <t>Luzzi</t>
        </is>
      </c>
      <c r="L70" s="12" t="n">
        <v>46307</v>
      </c>
      <c r="M70" s="11" t="n"/>
      <c r="N70" s="11" t="inlineStr">
        <is>
          <t>Mutación: Contra un muro a la izquierda (en la V1, a la derecha). Con ← mantenida 5 s contra el muro izquierdo, Pacman se detuvo en (7,1) sin superponerse; luego ↑ lo movió con normalidad (fila 5). (Fantasmas retirados y posiciones preparadas por script para aislar la condición.)</t>
        </is>
      </c>
      <c r="P70" s="13" t="inlineStr">
        <is>
          <t>Tasa de aprobación (aprobados / ejecutados)</t>
        </is>
      </c>
      <c r="Q70" s="17">
        <f>IFERROR(S66/R66,0)</f>
        <v/>
      </c>
    </row>
    <row r="71" ht="69" customHeight="1">
      <c r="A71" s="6" t="inlineStr">
        <is>
          <t>CP-008</t>
        </is>
      </c>
      <c r="B71" s="7" t="inlineStr">
        <is>
          <t>Regresión (V1, mutado)</t>
        </is>
      </c>
      <c r="C71" s="8" t="inlineStr">
        <is>
          <t>E1</t>
        </is>
      </c>
      <c r="D71" s="9" t="inlineStr">
        <is>
          <t>Alta</t>
        </is>
      </c>
      <c r="E71" s="7" t="inlineStr">
        <is>
          <t>Pacman no sale de los límites del mapa</t>
        </is>
      </c>
      <c r="F71" s="8" t="inlineStr">
        <is>
          <t>HU-02</t>
        </is>
      </c>
      <c r="G71" s="8" t="inlineStr">
        <is>
          <t>No</t>
        </is>
      </c>
      <c r="H71" s="8" t="inlineStr">
        <is>
          <t>Aprobado</t>
        </is>
      </c>
      <c r="I71" s="10" t="inlineStr">
        <is>
          <t>Aprobado</t>
        </is>
      </c>
      <c r="J71" s="8">
        <f>IF(OR(H71="—",I71=""),"—",IF(H71=I71,"No","Sí"))</f>
        <v/>
      </c>
      <c r="K71" s="11" t="inlineStr">
        <is>
          <t>Luzzi</t>
        </is>
      </c>
      <c r="L71" s="12" t="n">
        <v>46307</v>
      </c>
      <c r="M71" s="11" t="n"/>
      <c r="N71" s="11" t="inlineStr">
        <is>
          <t>Mutación: Bordes recorridos en otro orden: abajo, derecha, arriba, izquierda. En los bordes abajo (13,8), derecha (7,15), arriba (1,8) e izquierda (7,1), con la tecla hacia afuera, Pacman no salió del mapa y quedó visible. (Fantasmas retirados y posiciones preparadas por script para aislar la condición.)</t>
        </is>
      </c>
      <c r="P71" s="13" t="inlineStr">
        <is>
          <t>Tasa de fallo (fallidos / ejecutados)</t>
        </is>
      </c>
      <c r="Q71" s="17">
        <f>IFERROR(T66/R66,0)</f>
        <v/>
      </c>
    </row>
    <row r="72" ht="55.8" customHeight="1">
      <c r="A72" s="6" t="inlineStr">
        <is>
          <t>CP-009</t>
        </is>
      </c>
      <c r="B72" s="7" t="inlineStr">
        <is>
          <t>Regresión (V1, mutado)</t>
        </is>
      </c>
      <c r="C72" s="8" t="inlineStr">
        <is>
          <t>E1</t>
        </is>
      </c>
      <c r="D72" s="9" t="inlineStr">
        <is>
          <t>Alta</t>
        </is>
      </c>
      <c r="E72" s="7" t="inlineStr">
        <is>
          <t>Los fantasmas clásicos no atraviesan muros</t>
        </is>
      </c>
      <c r="F72" s="8" t="inlineStr">
        <is>
          <t>HU-02</t>
        </is>
      </c>
      <c r="G72" s="8" t="inlineStr">
        <is>
          <t>No</t>
        </is>
      </c>
      <c r="H72" s="8" t="inlineStr">
        <is>
          <t>Aprobado</t>
        </is>
      </c>
      <c r="I72" s="10" t="inlineStr">
        <is>
          <t>Aprobado</t>
        </is>
      </c>
      <c r="J72" s="8">
        <f>IF(OR(H72="—",I72=""),"—",IF(H72=I72,"No","Sí"))</f>
        <v/>
      </c>
      <c r="K72" s="11" t="inlineStr">
        <is>
          <t>Luzzi</t>
        </is>
      </c>
      <c r="L72" s="12" t="n">
        <v>46307</v>
      </c>
      <c r="M72" s="11" t="n"/>
      <c r="N72" s="11" t="inlineStr">
        <is>
          <t>Mutación: Observación en el nivel 2 en lugar del 1 (solo clásicos al inicio), 60 s. Nivel 2 durante 60 s: ningún fantasma clásico entró a un muro ni salió del mapa (tipos observados: ['classic']). (Vidas repuestas por script para que la partida no termine.)</t>
        </is>
      </c>
      <c r="P72" s="13" t="inlineStr">
        <is>
          <t>Cobertura de prioridad Alta de la V2 (ejecutados / diseñados)</t>
        </is>
      </c>
      <c r="Q72" s="17">
        <f>IFERROR((COUNTIFS($B$4:$B$103,"Nuevo (V2)",$D$4:$D$103,"Alta",$I$4:$I$103,"Aprobado")+COUNTIFS($B$4:$B$103,"Nuevo (V2)",$D$4:$D$103,"Alta",$I$4:$I$103,"Fallido"))/COUNTIFS($B$4:$B$103,"Nuevo (V2)",$D$4:$D$103,"Alta"),0)</f>
        <v/>
      </c>
    </row>
    <row r="73" ht="55.8" customHeight="1">
      <c r="A73" s="6" t="inlineStr">
        <is>
          <t>CP-011</t>
        </is>
      </c>
      <c r="B73" s="7" t="inlineStr">
        <is>
          <t>Regresión (V1, mutado)</t>
        </is>
      </c>
      <c r="C73" s="8" t="inlineStr">
        <is>
          <t>E1</t>
        </is>
      </c>
      <c r="D73" s="9" t="inlineStr">
        <is>
          <t>Alta</t>
        </is>
      </c>
      <c r="E73" s="7" t="inlineStr">
        <is>
          <t>Consumo de una esfera común</t>
        </is>
      </c>
      <c r="F73" s="8" t="inlineStr">
        <is>
          <t>HU-03</t>
        </is>
      </c>
      <c r="G73" s="8" t="inlineStr">
        <is>
          <t>Sí</t>
        </is>
      </c>
      <c r="H73" s="8" t="inlineStr">
        <is>
          <t>Aprobado</t>
        </is>
      </c>
      <c r="I73" s="10" t="inlineStr">
        <is>
          <t>Aprobado</t>
        </is>
      </c>
      <c r="J73" s="8">
        <f>IF(OR(H73="—",I73=""),"—",IF(H73=I73,"No","Sí"))</f>
        <v/>
      </c>
      <c r="K73" s="11" t="inlineStr">
        <is>
          <t>Luzzi</t>
        </is>
      </c>
      <c r="L73" s="12" t="n">
        <v>46307</v>
      </c>
      <c r="M73" s="11" t="n"/>
      <c r="N73" s="11" t="inlineStr">
        <is>
          <t>Mutación: Esfera común de otra fila (fila 4). Esfera de (4,3): desapareció; puntaje 0 → 10 (+10); esferas restantes 105 → 104. (Fantasmas retirados y posiciones preparadas por script para aislar la condición.)</t>
        </is>
      </c>
      <c r="P73" s="13" t="inlineStr">
        <is>
          <t>Defectos nuevos detectados en la V2</t>
        </is>
      </c>
      <c r="Q73" s="22">
        <f>COUNTIFS('Registro de defectos'!$H$5:$H$104,"V2*",'Registro de defectos'!$G$5:$G$104,"&lt;&gt;Rechazado")</f>
        <v/>
      </c>
    </row>
    <row r="74" ht="55.8" customHeight="1">
      <c r="A74" s="6" t="inlineStr">
        <is>
          <t>CP-012</t>
        </is>
      </c>
      <c r="B74" s="7" t="inlineStr">
        <is>
          <t>Regresión (V1, mutado)</t>
        </is>
      </c>
      <c r="C74" s="8" t="inlineStr">
        <is>
          <t>E1</t>
        </is>
      </c>
      <c r="D74" s="9" t="inlineStr">
        <is>
          <t>Alta</t>
        </is>
      </c>
      <c r="E74" s="7" t="inlineStr">
        <is>
          <t>Una esfera consumida no reaparece al perder una vida</t>
        </is>
      </c>
      <c r="F74" s="8" t="inlineStr">
        <is>
          <t>HU-03</t>
        </is>
      </c>
      <c r="G74" s="8" t="inlineStr">
        <is>
          <t>No</t>
        </is>
      </c>
      <c r="H74" s="8" t="inlineStr">
        <is>
          <t>Aprobado</t>
        </is>
      </c>
      <c r="I74" s="10" t="inlineStr">
        <is>
          <t>Aprobado</t>
        </is>
      </c>
      <c r="J74" s="8">
        <f>IF(OR(H74="—",I74=""),"—",IF(H74=I74,"No","Sí"))</f>
        <v/>
      </c>
      <c r="K74" s="11" t="inlineStr">
        <is>
          <t>Luzzi</t>
        </is>
      </c>
      <c r="L74" s="12" t="n">
        <v>46307</v>
      </c>
      <c r="M74" s="11" t="n"/>
      <c r="N74" s="11" t="inlineStr">
        <is>
          <t>Mutación: 15 esferas en lugar de 10, en la fila 10. Pacman consumió 14 esferas en la fila 10; tras perder una vida (3 → 2) la fila sigue despejada (15 de 15 celdas sin esfera). (Fantasmas retirados y posiciones preparadas por script para aislar la condición.)</t>
        </is>
      </c>
      <c r="P74" s="13" t="inlineStr">
        <is>
          <t>Casos que cambiaron de estado respecto de la Entrega 1</t>
        </is>
      </c>
      <c r="Q74" s="22">
        <f>COUNTIF($J$4:$J$103,"Sí")</f>
        <v/>
      </c>
    </row>
    <row r="75" ht="55.8" customHeight="1">
      <c r="A75" s="6" t="inlineStr">
        <is>
          <t>CP-014</t>
        </is>
      </c>
      <c r="B75" s="7" t="inlineStr">
        <is>
          <t>Regresión (V1, mutado)</t>
        </is>
      </c>
      <c r="C75" s="8" t="inlineStr">
        <is>
          <t>E1</t>
        </is>
      </c>
      <c r="D75" s="9" t="inlineStr">
        <is>
          <t>Alta</t>
        </is>
      </c>
      <c r="E75" s="7" t="inlineStr">
        <is>
          <t>Finalización del nivel al consumir la última esfera</t>
        </is>
      </c>
      <c r="F75" s="8" t="inlineStr">
        <is>
          <t>HU-04</t>
        </is>
      </c>
      <c r="G75" s="8" t="inlineStr">
        <is>
          <t>Sí</t>
        </is>
      </c>
      <c r="H75" s="8" t="inlineStr">
        <is>
          <t>Aprobado</t>
        </is>
      </c>
      <c r="I75" s="10" t="inlineStr">
        <is>
          <t>Aprobado</t>
        </is>
      </c>
      <c r="J75" s="8">
        <f>IF(OR(H75="—",I75=""),"—",IF(H75=I75,"No","Sí"))</f>
        <v/>
      </c>
      <c r="K75" s="11" t="inlineStr">
        <is>
          <t>Luzzi</t>
        </is>
      </c>
      <c r="L75" s="12" t="n">
        <v>46307</v>
      </c>
      <c r="M75" s="11" t="n"/>
      <c r="N75" s="11" t="inlineStr">
        <is>
          <t>Mutación: La última esfera es una de la fila 13. Al consumir la última esfera (13,5) el nivel se completó, la partida se detuvo y se mostró «¡Nivel 1 completado!» con el puntaje. (Mapa reducido a una esfera por script.)</t>
        </is>
      </c>
    </row>
    <row r="76" ht="55.8" customHeight="1">
      <c r="A76" s="6" t="inlineStr">
        <is>
          <t>CP-015</t>
        </is>
      </c>
      <c r="B76" s="7" t="inlineStr">
        <is>
          <t>Regresión (V1, mutado)</t>
        </is>
      </c>
      <c r="C76" s="8" t="inlineStr">
        <is>
          <t>E1</t>
        </is>
      </c>
      <c r="D76" s="9" t="inlineStr">
        <is>
          <t>Alta</t>
        </is>
      </c>
      <c r="E76" s="7" t="inlineStr">
        <is>
          <t>El nivel no se completa si queda una esfera grande</t>
        </is>
      </c>
      <c r="F76" s="8" t="inlineStr">
        <is>
          <t>HU-04</t>
        </is>
      </c>
      <c r="G76" s="8" t="inlineStr">
        <is>
          <t>No</t>
        </is>
      </c>
      <c r="H76" s="8" t="inlineStr">
        <is>
          <t>Aprobado</t>
        </is>
      </c>
      <c r="I76" s="10" t="inlineStr">
        <is>
          <t>Aprobado</t>
        </is>
      </c>
      <c r="J76" s="8">
        <f>IF(OR(H76="—",I76=""),"—",IF(H76=I76,"No","Sí"))</f>
        <v/>
      </c>
      <c r="K76" s="11" t="inlineStr">
        <is>
          <t>Luzzi</t>
        </is>
      </c>
      <c r="L76" s="12" t="n">
        <v>46307</v>
      </c>
      <c r="M76" s="11" t="n"/>
      <c r="N76" s="11" t="inlineStr">
        <is>
          <t>Mutación: La esfera grande pendiente es la de (13,15) en lugar de la de (1,1). Con solo la esfera grande de (13,15) sin consumir, el nivel no se completó y quedan 1 esferas; la partida sigue. (Mapa preparado por script.)</t>
        </is>
      </c>
      <c r="P76" s="4" t="inlineStr">
        <is>
          <t>Casos que cambiaron de estado entre la Entrega 1 y la Entrega 2</t>
        </is>
      </c>
      <c r="Q76" s="5" t="n"/>
      <c r="R76" s="5" t="n"/>
      <c r="S76" s="5" t="n"/>
      <c r="T76" s="5" t="n"/>
      <c r="U76" s="5" t="n"/>
      <c r="V76" s="5" t="n"/>
    </row>
    <row r="77" ht="42.59999999999999" customHeight="1">
      <c r="A77" s="6" t="inlineStr">
        <is>
          <t>CP-016</t>
        </is>
      </c>
      <c r="B77" s="7" t="inlineStr">
        <is>
          <t>Regresión (V1, mutado)</t>
        </is>
      </c>
      <c r="C77" s="8" t="inlineStr">
        <is>
          <t>E1</t>
        </is>
      </c>
      <c r="D77" s="9" t="inlineStr">
        <is>
          <t>Alta</t>
        </is>
      </c>
      <c r="E77" s="7" t="inlineStr">
        <is>
          <t>Paso al nivel siguiente conservando puntaje y vidas</t>
        </is>
      </c>
      <c r="F77" s="8" t="inlineStr">
        <is>
          <t>HU-04</t>
        </is>
      </c>
      <c r="G77" s="8" t="inlineStr">
        <is>
          <t>Sí</t>
        </is>
      </c>
      <c r="H77" s="8" t="inlineStr">
        <is>
          <t>Aprobado</t>
        </is>
      </c>
      <c r="I77" s="10" t="inlineStr">
        <is>
          <t>Aprobado</t>
        </is>
      </c>
      <c r="J77" s="8">
        <f>IF(OR(H77="—",I77=""),"—",IF(H77=I77,"No","Sí"))</f>
        <v/>
      </c>
      <c r="K77" s="11" t="inlineStr">
        <is>
          <t>Luzzi</t>
        </is>
      </c>
      <c r="L77" s="12" t="n">
        <v>46307</v>
      </c>
      <c r="M77" s="11" t="n"/>
      <c r="N77" s="11" t="inlineStr">
        <is>
          <t>Mutación: Se completa el nivel con 3 vidas en lugar de 2. Completado el nivel 1 con 3 vidas y 1200 puntos: empezó el nivel 2 con 1200 puntos y 3 vidas. (Mapa reducido por script.)</t>
        </is>
      </c>
      <c r="P77" s="16" t="inlineStr">
        <is>
          <t>Caso</t>
        </is>
      </c>
      <c r="Q77" s="16" t="inlineStr">
        <is>
          <t>Entrega 1</t>
        </is>
      </c>
      <c r="R77" s="16" t="inlineStr">
        <is>
          <t>Entrega 2</t>
        </is>
      </c>
      <c r="S77" s="16" t="inlineStr">
        <is>
          <t>Motivo</t>
        </is>
      </c>
      <c r="T77" s="23" t="n"/>
      <c r="U77" s="23" t="n"/>
      <c r="V77" s="24" t="n"/>
    </row>
    <row r="78" ht="55.8" customHeight="1">
      <c r="A78" s="6" t="inlineStr">
        <is>
          <t>CP-017</t>
        </is>
      </c>
      <c r="B78" s="7" t="inlineStr">
        <is>
          <t>Regresión (V1, mutado)</t>
        </is>
      </c>
      <c r="C78" s="8" t="inlineStr">
        <is>
          <t>E1</t>
        </is>
      </c>
      <c r="D78" s="9" t="inlineStr">
        <is>
          <t>Alta</t>
        </is>
      </c>
      <c r="E78" s="7" t="inlineStr">
        <is>
          <t>Victoria al completar el nivel 3</t>
        </is>
      </c>
      <c r="F78" s="8" t="inlineStr">
        <is>
          <t>HU-04</t>
        </is>
      </c>
      <c r="G78" s="8" t="inlineStr">
        <is>
          <t>Sí</t>
        </is>
      </c>
      <c r="H78" s="8" t="inlineStr">
        <is>
          <t>Aprobado</t>
        </is>
      </c>
      <c r="I78" s="10" t="inlineStr">
        <is>
          <t>Aprobado</t>
        </is>
      </c>
      <c r="J78" s="8">
        <f>IF(OR(H78="—",I78=""),"—",IF(H78=I78,"No","Sí"))</f>
        <v/>
      </c>
      <c r="K78" s="11" t="inlineStr">
        <is>
          <t>Luzzi</t>
        </is>
      </c>
      <c r="L78" s="12" t="n">
        <v>46307</v>
      </c>
      <c r="M78" s="11" t="n"/>
      <c r="N78" s="11" t="inlineStr">
        <is>
          <t>Mutación: Partida completa N1 → N2 → N3 con los fantasmas nuevos de la V2. Partida N1 → N2 → N3; en el nivel 3 los fantasmas fueron ['specter', 'jumper', 'naval', 'accelerated']; al consumir la última esfera se mostró «¡Nivel 3 completado!» y luego «¡Victoria!» con el puntaje final. (Mapas reducidos por script.)</t>
        </is>
      </c>
      <c r="P78" s="7" t="inlineStr">
        <is>
          <t>CP-032 · El PowerUp se cancela al perder una vida</t>
        </is>
      </c>
      <c r="Q78" s="8" t="inlineStr">
        <is>
          <t>Bloqueado</t>
        </is>
      </c>
      <c r="R78" s="8" t="inlineStr">
        <is>
          <t>Aprobado</t>
        </is>
      </c>
      <c r="S78" s="7" t="inlineStr">
        <is>
          <t>En la Entrega 1 no se pudo provocar la condición jugando; en la Entrega 2 el script la preparó (fantasma recién reaparecido durante el PowerUp).</t>
        </is>
      </c>
      <c r="T78" s="14" t="n"/>
      <c r="U78" s="14" t="n"/>
      <c r="V78" s="14" t="n"/>
    </row>
    <row r="79" ht="42.59999999999999" customHeight="1">
      <c r="A79" s="6" t="inlineStr">
        <is>
          <t>CP-018</t>
        </is>
      </c>
      <c r="B79" s="7" t="inlineStr">
        <is>
          <t>Regresión (V1, mutado)</t>
        </is>
      </c>
      <c r="C79" s="8" t="inlineStr">
        <is>
          <t>E2</t>
        </is>
      </c>
      <c r="D79" s="9" t="inlineStr">
        <is>
          <t>Alta</t>
        </is>
      </c>
      <c r="E79" s="7" t="inlineStr">
        <is>
          <t>Activación automática del PowerUp</t>
        </is>
      </c>
      <c r="F79" s="8" t="inlineStr">
        <is>
          <t>HU-05</t>
        </is>
      </c>
      <c r="G79" s="8" t="inlineStr">
        <is>
          <t>Sí</t>
        </is>
      </c>
      <c r="H79" s="8" t="inlineStr">
        <is>
          <t>Aprobado</t>
        </is>
      </c>
      <c r="I79" s="10" t="inlineStr">
        <is>
          <t>Aprobado</t>
        </is>
      </c>
      <c r="J79" s="8">
        <f>IF(OR(H79="—",I79=""),"—",IF(H79=I79,"No","Sí"))</f>
        <v/>
      </c>
      <c r="K79" s="11" t="inlineStr">
        <is>
          <t>Luzzi</t>
        </is>
      </c>
      <c r="L79" s="12" t="n">
        <v>46307</v>
      </c>
      <c r="M79" s="11" t="n"/>
      <c r="N79" s="11" t="inlineStr">
        <is>
          <t>Mutación: Esfera grande de (13,1). Al pasar por (13,1) el PowerUp se activó solo; puntaje +50; los fantasmas cambiaron al diseño vulnerable y se alejaron (suma de distancias 48 → 76). (Fantasmas ubicados en el centro por script.)</t>
        </is>
      </c>
      <c r="P79" s="7" t="inlineStr">
        <is>
          <t>CP-034 · Presentación del contador de vidas</t>
        </is>
      </c>
      <c r="Q79" s="8" t="inlineStr">
        <is>
          <t>Fallido</t>
        </is>
      </c>
      <c r="R79" s="8" t="inlineStr">
        <is>
          <t>Aprobado</t>
        </is>
      </c>
      <c r="S79" s="7" t="inlineStr">
        <is>
          <t>DEF-001 corregido en el commit 7ec70df (vidas abajo a la izquierda con íconos de Pacman); confirmación aprobada.</t>
        </is>
      </c>
      <c r="T79" s="14" t="n"/>
      <c r="U79" s="14" t="n"/>
      <c r="V79" s="14" t="n"/>
    </row>
    <row r="80" ht="55.8" customHeight="1">
      <c r="A80" s="6" t="inlineStr">
        <is>
          <t>CP-019</t>
        </is>
      </c>
      <c r="B80" s="7" t="inlineStr">
        <is>
          <t>Regresión (V1, mutado)</t>
        </is>
      </c>
      <c r="C80" s="8" t="inlineStr">
        <is>
          <t>E2</t>
        </is>
      </c>
      <c r="D80" s="9" t="inlineStr">
        <is>
          <t>Alta</t>
        </is>
      </c>
      <c r="E80" s="7" t="inlineStr">
        <is>
          <t>Duración del PowerUp</t>
        </is>
      </c>
      <c r="F80" s="8" t="inlineStr">
        <is>
          <t>HU-05</t>
        </is>
      </c>
      <c r="G80" s="8" t="inlineStr">
        <is>
          <t>No</t>
        </is>
      </c>
      <c r="H80" s="8" t="inlineStr">
        <is>
          <t>Aprobado</t>
        </is>
      </c>
      <c r="I80" s="10" t="inlineStr">
        <is>
          <t>Aprobado</t>
        </is>
      </c>
      <c r="J80" s="8">
        <f>IF(OR(H80="—",I80=""),"—",IF(H80=I80,"No","Sí"))</f>
        <v/>
      </c>
      <c r="K80" s="11" t="inlineStr">
        <is>
          <t>Luzzi</t>
        </is>
      </c>
      <c r="L80" s="12" t="n">
        <v>46307</v>
      </c>
      <c r="M80" s="11" t="n"/>
      <c r="N80" s="11" t="inlineStr">
        <is>
          <t>Mutación: Esfera grande de (1,15); observaciones a 7,5 s y 8,5 s. Esfera grande de (1,15): a los 7,5 s los fantasmas seguían vulnerables; a los 8,5 s recuperaron su diseño y volvieron a perseguir. Duración: 8 s.</t>
        </is>
      </c>
      <c r="P80" s="2" t="inlineStr">
        <is>
          <t>Los 35 casos de regresión mantienen el estado Aprobado de la Entrega 1.</t>
        </is>
      </c>
    </row>
    <row r="81" ht="55.8" customHeight="1">
      <c r="A81" s="6" t="inlineStr">
        <is>
          <t>CP-020</t>
        </is>
      </c>
      <c r="B81" s="7" t="inlineStr">
        <is>
          <t>Regresión (V1, mutado)</t>
        </is>
      </c>
      <c r="C81" s="8" t="inlineStr">
        <is>
          <t>E2</t>
        </is>
      </c>
      <c r="D81" s="9" t="inlineStr">
        <is>
          <t>Alta</t>
        </is>
      </c>
      <c r="E81" s="7" t="inlineStr">
        <is>
          <t>Los fantasmas huyen durante el PowerUp</t>
        </is>
      </c>
      <c r="F81" s="8" t="inlineStr">
        <is>
          <t>HU-05</t>
        </is>
      </c>
      <c r="G81" s="8" t="inlineStr">
        <is>
          <t>No</t>
        </is>
      </c>
      <c r="H81" s="8" t="inlineStr">
        <is>
          <t>Aprobado</t>
        </is>
      </c>
      <c r="I81" s="10" t="inlineStr">
        <is>
          <t>Aprobado</t>
        </is>
      </c>
      <c r="J81" s="8">
        <f>IF(OR(H81="—",I81=""),"—",IF(H81=I81,"No","Sí"))</f>
        <v/>
      </c>
      <c r="K81" s="11" t="inlineStr">
        <is>
          <t>Luzzi</t>
        </is>
      </c>
      <c r="L81" s="12" t="n">
        <v>46307</v>
      </c>
      <c r="M81" s="11" t="n"/>
      <c r="N81" s="11" t="inlineStr">
        <is>
          <t>Mutación: Fantasma perseguidor distinto (el rosa). El fantasma rosa venía hacia Pacman por la fila 4; al consumir la esfera grande dejó de acercarse y se alejó (distancia 2 → 7 celdas). (Fantasmas retirados y posiciones preparadas por script para aislar la condición.)</t>
        </is>
      </c>
    </row>
    <row r="82" ht="55.8" customHeight="1">
      <c r="A82" s="6" t="inlineStr">
        <is>
          <t>CP-023</t>
        </is>
      </c>
      <c r="B82" s="7" t="inlineStr">
        <is>
          <t>Regresión (V1, mutado)</t>
        </is>
      </c>
      <c r="C82" s="8" t="inlineStr">
        <is>
          <t>E2</t>
        </is>
      </c>
      <c r="D82" s="9" t="inlineStr">
        <is>
          <t>Alta</t>
        </is>
      </c>
      <c r="E82" s="7" t="inlineStr">
        <is>
          <t>Escala de puntos por fantasmas comidos</t>
        </is>
      </c>
      <c r="F82" s="8" t="inlineStr">
        <is>
          <t>HU-06</t>
        </is>
      </c>
      <c r="G82" s="8" t="inlineStr">
        <is>
          <t>Sí</t>
        </is>
      </c>
      <c r="H82" s="8" t="inlineStr">
        <is>
          <t>Aprobado</t>
        </is>
      </c>
      <c r="I82" s="10" t="inlineStr">
        <is>
          <t>Aprobado</t>
        </is>
      </c>
      <c r="J82" s="8">
        <f>IF(OR(H82="—",I82=""),"—",IF(H82=I82,"No","Sí"))</f>
        <v/>
      </c>
      <c r="K82" s="11" t="inlineStr">
        <is>
          <t>Luzzi</t>
        </is>
      </c>
      <c r="L82" s="12" t="n">
        <v>46307</v>
      </c>
      <c r="M82" s="11" t="n"/>
      <c r="N82" s="11" t="inlineStr">
        <is>
          <t>Mutación: Se usa la esfera grande de (13,15). Con la esfera grande de (13,15), los cuatro fantasmas comidos sumaron [200, 400, 800, 1600]. (Fantasmas retirados y posiciones preparadas por script para aislar la condición.)</t>
        </is>
      </c>
      <c r="P82" s="4" t="inlineStr">
        <is>
          <t>Resultados por épica (sección 12.5)</t>
        </is>
      </c>
      <c r="Q82" s="5" t="n"/>
      <c r="R82" s="5" t="n"/>
      <c r="S82" s="5" t="n"/>
      <c r="T82" s="5" t="n"/>
      <c r="U82" s="5" t="n"/>
      <c r="V82" s="5" t="n"/>
    </row>
    <row r="83" ht="28" customHeight="1">
      <c r="A83" s="6" t="inlineStr">
        <is>
          <t>CP-024</t>
        </is>
      </c>
      <c r="B83" s="7" t="inlineStr">
        <is>
          <t>Regresión (V1, mutado)</t>
        </is>
      </c>
      <c r="C83" s="8" t="inlineStr">
        <is>
          <t>E2</t>
        </is>
      </c>
      <c r="D83" s="9" t="inlineStr">
        <is>
          <t>Alta</t>
        </is>
      </c>
      <c r="E83" s="7" t="inlineStr">
        <is>
          <t>Reinicio de la escala al terminar el PowerUp</t>
        </is>
      </c>
      <c r="F83" s="8" t="inlineStr">
        <is>
          <t>HU-06</t>
        </is>
      </c>
      <c r="G83" s="8" t="inlineStr">
        <is>
          <t>No</t>
        </is>
      </c>
      <c r="H83" s="8" t="inlineStr">
        <is>
          <t>Aprobado</t>
        </is>
      </c>
      <c r="I83" s="10" t="inlineStr">
        <is>
          <t>Aprobado</t>
        </is>
      </c>
      <c r="J83" s="8">
        <f>IF(OR(H83="—",I83=""),"—",IF(H83=I83,"No","Sí"))</f>
        <v/>
      </c>
      <c r="K83" s="11" t="inlineStr">
        <is>
          <t>Luzzi</t>
        </is>
      </c>
      <c r="L83" s="12" t="n">
        <v>46307</v>
      </c>
      <c r="M83" s="11" t="n"/>
      <c r="N83" s="11" t="inlineStr">
        <is>
          <t>Mutación: Segundo PowerUp con una esfera grande distinta. Primer PowerUp (13,15): fantasma +200; terminado el PowerUp, segundo PowerUp con la esfera de (1,1): fantasma +200. (Fantasmas retirados y posiciones preparadas por script para aislar la condición.)</t>
        </is>
      </c>
      <c r="P83" s="16" t="inlineStr">
        <is>
          <t>Épica</t>
        </is>
      </c>
      <c r="Q83" s="16" t="inlineStr">
        <is>
          <t>Diseñados</t>
        </is>
      </c>
      <c r="R83" s="16" t="inlineStr">
        <is>
          <t>Ejecutados</t>
        </is>
      </c>
      <c r="S83" s="16" t="inlineStr">
        <is>
          <t>Aprobados</t>
        </is>
      </c>
      <c r="T83" s="16" t="inlineStr">
        <is>
          <t>Fallidos</t>
        </is>
      </c>
      <c r="U83" s="16" t="inlineStr">
        <is>
          <t>Bloqueados</t>
        </is>
      </c>
      <c r="V83" s="16" t="inlineStr">
        <is>
          <t>Tasa de aprobación</t>
        </is>
      </c>
    </row>
    <row r="84" ht="42.59999999999999" customHeight="1">
      <c r="A84" s="6" t="inlineStr">
        <is>
          <t>CP-025</t>
        </is>
      </c>
      <c r="B84" s="7" t="inlineStr">
        <is>
          <t>Regresión (V1, mutado)</t>
        </is>
      </c>
      <c r="C84" s="8" t="inlineStr">
        <is>
          <t>E2</t>
        </is>
      </c>
      <c r="D84" s="9" t="inlineStr">
        <is>
          <t>Alta</t>
        </is>
      </c>
      <c r="E84" s="7" t="inlineStr">
        <is>
          <t>Comer un fantasma no descuenta vidas</t>
        </is>
      </c>
      <c r="F84" s="8" t="inlineStr">
        <is>
          <t>HU-06</t>
        </is>
      </c>
      <c r="G84" s="8" t="inlineStr">
        <is>
          <t>No</t>
        </is>
      </c>
      <c r="H84" s="8" t="inlineStr">
        <is>
          <t>Aprobado</t>
        </is>
      </c>
      <c r="I84" s="10" t="inlineStr">
        <is>
          <t>Aprobado</t>
        </is>
      </c>
      <c r="J84" s="8">
        <f>IF(OR(H84="—",I84=""),"—",IF(H84=I84,"No","Sí"))</f>
        <v/>
      </c>
      <c r="K84" s="11" t="inlineStr">
        <is>
          <t>Luzzi</t>
        </is>
      </c>
      <c r="L84" s="12" t="n">
        <v>46307</v>
      </c>
      <c r="M84" s="11" t="n"/>
      <c r="N84" s="11" t="inlineStr">
        <is>
          <t>Mutación: Con 2 vidas en lugar de 3. Con 2 vidas y PowerUp activo, el fantasma tocado desapareció; vidas 2 → 2; el nivel no se reinició (Pacman siguió en la fila 4). (Vidas fijadas en 2 por script.)</t>
        </is>
      </c>
      <c r="P84" s="7" t="inlineStr">
        <is>
          <t>E1 — Núcleo de juego y movimiento</t>
        </is>
      </c>
      <c r="Q84" s="8">
        <f>COUNTIF($C$4:$C$103,"E1")</f>
        <v/>
      </c>
      <c r="R84" s="8">
        <f>COUNTIFS($C$4:$C$103,"E1",$I$4:$I$103,"Aprobado")+COUNTIFS($C$4:$C$103,"E1",$I$4:$I$103,"Fallido")</f>
        <v/>
      </c>
      <c r="S84" s="8">
        <f>COUNTIFS($C$4:$C$103,"E1",$I$4:$I$103,"Aprobado")</f>
        <v/>
      </c>
      <c r="T84" s="8">
        <f>COUNTIFS($C$4:$C$103,"E1",$I$4:$I$103,"Fallido")</f>
        <v/>
      </c>
      <c r="U84" s="8">
        <f>COUNTIFS($C$4:$C$103,"E1",$I$4:$I$103,"Bloqueado")</f>
        <v/>
      </c>
      <c r="V84" s="17">
        <f>IFERROR(S84/R84,0)</f>
        <v/>
      </c>
    </row>
    <row r="85" ht="69" customHeight="1">
      <c r="A85" s="6" t="inlineStr">
        <is>
          <t>CP-030</t>
        </is>
      </c>
      <c r="B85" s="7" t="inlineStr">
        <is>
          <t>Regresión (V1, mutado)</t>
        </is>
      </c>
      <c r="C85" s="8" t="inlineStr">
        <is>
          <t>E2</t>
        </is>
      </c>
      <c r="D85" s="9" t="inlineStr">
        <is>
          <t>Alta</t>
        </is>
      </c>
      <c r="E85" s="7" t="inlineStr">
        <is>
          <t>Descuento de una vida por contacto con un fantasma</t>
        </is>
      </c>
      <c r="F85" s="8" t="inlineStr">
        <is>
          <t>HU-08</t>
        </is>
      </c>
      <c r="G85" s="8" t="inlineStr">
        <is>
          <t>Sí</t>
        </is>
      </c>
      <c r="H85" s="8" t="inlineStr">
        <is>
          <t>Aprobado</t>
        </is>
      </c>
      <c r="I85" s="10" t="inlineStr">
        <is>
          <t>Aprobado</t>
        </is>
      </c>
      <c r="J85" s="8">
        <f>IF(OR(H85="—",I85=""),"—",IF(H85=I85,"No","Sí"))</f>
        <v/>
      </c>
      <c r="K85" s="11" t="inlineStr">
        <is>
          <t>Luzzi</t>
        </is>
      </c>
      <c r="L85" s="12" t="n">
        <v>46307</v>
      </c>
      <c r="M85" s="11" t="n"/>
      <c r="N85" s="11" t="inlineStr">
        <is>
          <t>Mutación: Con 2 vidas en lugar de 3, contacto con el fantasma celeste. Con 2 vidas, el contacto con el fantasma celeste dejó las vidas en 1; puntaje 10 → 10; Pacman volvió a (7,8) y los fantasmas a sus posiciones iniciales [[1, 1], [1, 15], [13, 1], [13, 15]]. (Vidas fijadas en 2 por script.)</t>
        </is>
      </c>
      <c r="P85" s="7" t="inlineStr">
        <is>
          <t>E2 — PowerUp e interacción con fantasmas</t>
        </is>
      </c>
      <c r="Q85" s="8">
        <f>COUNTIF($C$4:$C$103,"E2")</f>
        <v/>
      </c>
      <c r="R85" s="8">
        <f>COUNTIFS($C$4:$C$103,"E2",$I$4:$I$103,"Aprobado")+COUNTIFS($C$4:$C$103,"E2",$I$4:$I$103,"Fallido")</f>
        <v/>
      </c>
      <c r="S85" s="8">
        <f>COUNTIFS($C$4:$C$103,"E2",$I$4:$I$103,"Aprobado")</f>
        <v/>
      </c>
      <c r="T85" s="8">
        <f>COUNTIFS($C$4:$C$103,"E2",$I$4:$I$103,"Fallido")</f>
        <v/>
      </c>
      <c r="U85" s="8">
        <f>COUNTIFS($C$4:$C$103,"E2",$I$4:$I$103,"Bloqueado")</f>
        <v/>
      </c>
      <c r="V85" s="17">
        <f>IFERROR(S85/R85,0)</f>
        <v/>
      </c>
    </row>
    <row r="86" ht="55.8" customHeight="1">
      <c r="A86" s="6" t="inlineStr">
        <is>
          <t>CP-031</t>
        </is>
      </c>
      <c r="B86" s="7" t="inlineStr">
        <is>
          <t>Regresión (V1, mutado)</t>
        </is>
      </c>
      <c r="C86" s="8" t="inlineStr">
        <is>
          <t>E2</t>
        </is>
      </c>
      <c r="D86" s="9" t="inlineStr">
        <is>
          <t>Alta</t>
        </is>
      </c>
      <c r="E86" s="7" t="inlineStr">
        <is>
          <t>Un solo contacto no descuenta más de una vida</t>
        </is>
      </c>
      <c r="F86" s="8" t="inlineStr">
        <is>
          <t>HU-08</t>
        </is>
      </c>
      <c r="G86" s="8" t="inlineStr">
        <is>
          <t>No</t>
        </is>
      </c>
      <c r="H86" s="8" t="inlineStr">
        <is>
          <t>Aprobado</t>
        </is>
      </c>
      <c r="I86" s="10" t="inlineStr">
        <is>
          <t>Aprobado</t>
        </is>
      </c>
      <c r="J86" s="8">
        <f>IF(OR(H86="—",I86=""),"—",IF(H86=I86,"No","Sí"))</f>
        <v/>
      </c>
      <c r="K86" s="11" t="inlineStr">
        <is>
          <t>Luzzi</t>
        </is>
      </c>
      <c r="L86" s="12" t="n">
        <v>46307</v>
      </c>
      <c r="M86" s="11" t="n"/>
      <c r="N86" s="11" t="inlineStr">
        <is>
          <t>Mutación: Contacto de frente en sentido vertical (columna 1). Contacto de frente en la columna 1 (Pacman subiendo, fantasma bajando): se descontó una sola vida (3 → 2). (Fantasmas retirados y posiciones preparadas por script para aislar la condición.)</t>
        </is>
      </c>
      <c r="P86" s="7" t="inlineStr">
        <is>
          <t>E3 — Vidas, puntaje y fin de partida</t>
        </is>
      </c>
      <c r="Q86" s="8">
        <f>COUNTIF($C$4:$C$103,"E3")</f>
        <v/>
      </c>
      <c r="R86" s="8">
        <f>COUNTIFS($C$4:$C$103,"E3",$I$4:$I$103,"Aprobado")+COUNTIFS($C$4:$C$103,"E3",$I$4:$I$103,"Fallido")</f>
        <v/>
      </c>
      <c r="S86" s="8">
        <f>COUNTIFS($C$4:$C$103,"E3",$I$4:$I$103,"Aprobado")</f>
        <v/>
      </c>
      <c r="T86" s="8">
        <f>COUNTIFS($C$4:$C$103,"E3",$I$4:$I$103,"Fallido")</f>
        <v/>
      </c>
      <c r="U86" s="8">
        <f>COUNTIFS($C$4:$C$103,"E3",$I$4:$I$103,"Bloqueado")</f>
        <v/>
      </c>
      <c r="V86" s="17">
        <f>IFERROR(S86/R86,0)</f>
        <v/>
      </c>
    </row>
    <row r="87" ht="69" customHeight="1">
      <c r="A87" s="6" t="inlineStr">
        <is>
          <t>CP-033</t>
        </is>
      </c>
      <c r="B87" s="7" t="inlineStr">
        <is>
          <t>Regresión (V1, mutado)</t>
        </is>
      </c>
      <c r="C87" s="8" t="inlineStr">
        <is>
          <t>E2</t>
        </is>
      </c>
      <c r="D87" s="9" t="inlineStr">
        <is>
          <t>Alta</t>
        </is>
      </c>
      <c r="E87" s="7" t="inlineStr">
        <is>
          <t>Reanudación del nivel tras perder una vida</t>
        </is>
      </c>
      <c r="F87" s="8" t="inlineStr">
        <is>
          <t>HU-08</t>
        </is>
      </c>
      <c r="G87" s="8" t="inlineStr">
        <is>
          <t>No</t>
        </is>
      </c>
      <c r="H87" s="8" t="inlineStr">
        <is>
          <t>Aprobado</t>
        </is>
      </c>
      <c r="I87" s="10" t="inlineStr">
        <is>
          <t>Aprobado</t>
        </is>
      </c>
      <c r="J87" s="8">
        <f>IF(OR(H87="—",I87=""),"—",IF(H87=I87,"No","Sí"))</f>
        <v/>
      </c>
      <c r="K87" s="11" t="inlineStr">
        <is>
          <t>Luzzi</t>
        </is>
      </c>
      <c r="L87" s="12" t="n">
        <v>46307</v>
      </c>
      <c r="M87" s="11" t="n"/>
      <c r="N87" s="11" t="inlineStr">
        <is>
          <t>Mutación: Con 20 esferas consumidas. Con 20 esferas consumidas se perdió una vida: siguió el nivel 1, puntaje 200 → 200, las esferas consumidas siguen ausentes y los personajes volvieron a sus posiciones iniciales. (Fantasmas retirados y posiciones preparadas por script para aislar la condición.)</t>
        </is>
      </c>
      <c r="P87" s="7" t="inlineStr">
        <is>
          <t>E4 — Niveles y progresión de dificultad</t>
        </is>
      </c>
      <c r="Q87" s="8">
        <f>COUNTIF($C$4:$C$103,"E4")</f>
        <v/>
      </c>
      <c r="R87" s="8">
        <f>COUNTIFS($C$4:$C$103,"E4",$I$4:$I$103,"Aprobado")+COUNTIFS($C$4:$C$103,"E4",$I$4:$I$103,"Fallido")</f>
        <v/>
      </c>
      <c r="S87" s="8">
        <f>COUNTIFS($C$4:$C$103,"E4",$I$4:$I$103,"Aprobado")</f>
        <v/>
      </c>
      <c r="T87" s="8">
        <f>COUNTIFS($C$4:$C$103,"E4",$I$4:$I$103,"Fallido")</f>
        <v/>
      </c>
      <c r="U87" s="8">
        <f>COUNTIFS($C$4:$C$103,"E4",$I$4:$I$103,"Bloqueado")</f>
        <v/>
      </c>
      <c r="V87" s="17">
        <f>IFERROR(S87/R87,0)</f>
        <v/>
      </c>
    </row>
    <row r="88" ht="55.8" customHeight="1">
      <c r="A88" s="6" t="inlineStr">
        <is>
          <t>CP-036</t>
        </is>
      </c>
      <c r="B88" s="7" t="inlineStr">
        <is>
          <t>Regresión (V1, mutado)</t>
        </is>
      </c>
      <c r="C88" s="8" t="inlineStr">
        <is>
          <t>E3</t>
        </is>
      </c>
      <c r="D88" s="9" t="inlineStr">
        <is>
          <t>Alta</t>
        </is>
      </c>
      <c r="E88" s="7" t="inlineStr">
        <is>
          <t>Game Over al perder la tercera vida</t>
        </is>
      </c>
      <c r="F88" s="8" t="inlineStr">
        <is>
          <t>HU-10</t>
        </is>
      </c>
      <c r="G88" s="8" t="inlineStr">
        <is>
          <t>Sí</t>
        </is>
      </c>
      <c r="H88" s="8" t="inlineStr">
        <is>
          <t>Aprobado</t>
        </is>
      </c>
      <c r="I88" s="10" t="inlineStr">
        <is>
          <t>Aprobado</t>
        </is>
      </c>
      <c r="J88" s="8">
        <f>IF(OR(H88="—",I88=""),"—",IF(H88=I88,"No","Sí"))</f>
        <v/>
      </c>
      <c r="K88" s="11" t="inlineStr">
        <is>
          <t>Luzzi</t>
        </is>
      </c>
      <c r="L88" s="12" t="n">
        <v>46307</v>
      </c>
      <c r="M88" s="11" t="n"/>
      <c r="N88" s="11" t="inlineStr">
        <is>
          <t>Mutación: Última vida perdida en el nivel 2. Última vida perdida en el nivel 2: se mostró «Game Over» con el puntaje final (0); 5 s después la partida seguía terminada, sin reiniciarse ni reanudarse. (Vidas fijadas en 1 por script.)</t>
        </is>
      </c>
      <c r="P88" s="7" t="inlineStr">
        <is>
          <t>E5 — Control de la partida</t>
        </is>
      </c>
      <c r="Q88" s="8">
        <f>COUNTIF($C$4:$C$103,"E5")</f>
        <v/>
      </c>
      <c r="R88" s="8">
        <f>COUNTIFS($C$4:$C$103,"E5",$I$4:$I$103,"Aprobado")+COUNTIFS($C$4:$C$103,"E5",$I$4:$I$103,"Fallido")</f>
        <v/>
      </c>
      <c r="S88" s="8">
        <f>COUNTIFS($C$4:$C$103,"E5",$I$4:$I$103,"Aprobado")</f>
        <v/>
      </c>
      <c r="T88" s="8">
        <f>COUNTIFS($C$4:$C$103,"E5",$I$4:$I$103,"Fallido")</f>
        <v/>
      </c>
      <c r="U88" s="8">
        <f>COUNTIFS($C$4:$C$103,"E5",$I$4:$I$103,"Bloqueado")</f>
        <v/>
      </c>
      <c r="V88" s="17">
        <f>IFERROR(S88/R88,0)</f>
        <v/>
      </c>
    </row>
    <row r="89" ht="95.39999999999999" customHeight="1">
      <c r="A89" s="6" t="inlineStr">
        <is>
          <t>CP-047</t>
        </is>
      </c>
      <c r="B89" s="7" t="inlineStr">
        <is>
          <t>Regresión (V1, mutado)</t>
        </is>
      </c>
      <c r="C89" s="8" t="inlineStr">
        <is>
          <t>E4</t>
        </is>
      </c>
      <c r="D89" s="9" t="inlineStr">
        <is>
          <t>Alta</t>
        </is>
      </c>
      <c r="E89" s="7" t="inlineStr">
        <is>
          <t>Los tres niveles y sus mapas</t>
        </is>
      </c>
      <c r="F89" s="8" t="inlineStr">
        <is>
          <t>HU-15</t>
        </is>
      </c>
      <c r="G89" s="8" t="inlineStr">
        <is>
          <t>Sí</t>
        </is>
      </c>
      <c r="H89" s="8" t="inlineStr">
        <is>
          <t>Aprobado</t>
        </is>
      </c>
      <c r="I89" s="10" t="inlineStr">
        <is>
          <t>Aprobado</t>
        </is>
      </c>
      <c r="J89" s="8">
        <f>IF(OR(H89="—",I89=""),"—",IF(H89=I89,"No","Sí"))</f>
        <v/>
      </c>
      <c r="K89" s="11" t="inlineStr">
        <is>
          <t>Luzzi</t>
        </is>
      </c>
      <c r="L89" s="12" t="n">
        <v>46307</v>
      </c>
      <c r="M89" s="11" t="n"/>
      <c r="N89" s="11" t="inlineStr">
        <is>
          <t>Mutación: Partida completa; se registra además la barra inferior de vidas (DEF-001). Niveles 1, 2 y 3 en orden; HUD: ['Nivel 1', 'Nivel 2', 'Nivel 3']. Los tres mapas tienen forma distinta. Color medio de muros: N1 [168, 25, 37] con 148 muestras rojas (franjas), N2 [11, 29, 77] (azul, sin rojo), N3 [14, 78, 18] (verde). Barra inferior de vidas con 3 íconos de Pacman en los tres niveles (DEF-001). (Mapas reducidos por script para avanzar; capturas REG-CP-047-N1..N3.)</t>
        </is>
      </c>
      <c r="P89" s="7" t="inlineStr">
        <is>
          <t>E6 — Modo GhostMan</t>
        </is>
      </c>
      <c r="Q89" s="8">
        <f>COUNTIF($C$4:$C$103,"E6")</f>
        <v/>
      </c>
      <c r="R89" s="8">
        <f>COUNTIFS($C$4:$C$103,"E6",$I$4:$I$103,"Aprobado")+COUNTIFS($C$4:$C$103,"E6",$I$4:$I$103,"Fallido")</f>
        <v/>
      </c>
      <c r="S89" s="8">
        <f>COUNTIFS($C$4:$C$103,"E6",$I$4:$I$103,"Aprobado")</f>
        <v/>
      </c>
      <c r="T89" s="8">
        <f>COUNTIFS($C$4:$C$103,"E6",$I$4:$I$103,"Fallido")</f>
        <v/>
      </c>
      <c r="U89" s="8">
        <f>COUNTIFS($C$4:$C$103,"E6",$I$4:$I$103,"Bloqueado")</f>
        <v/>
      </c>
      <c r="V89" s="17">
        <f>IFERROR(S89/R89,0)</f>
        <v/>
      </c>
    </row>
    <row r="90" ht="55.8" customHeight="1">
      <c r="A90" s="6" t="inlineStr">
        <is>
          <t>CP-049</t>
        </is>
      </c>
      <c r="B90" s="7" t="inlineStr">
        <is>
          <t>Regresión (V1, mutado)</t>
        </is>
      </c>
      <c r="C90" s="8" t="inlineStr">
        <is>
          <t>E4</t>
        </is>
      </c>
      <c r="D90" s="9" t="inlineStr">
        <is>
          <t>Alta</t>
        </is>
      </c>
      <c r="E90" s="7" t="inlineStr">
        <is>
          <t>Solo fantasmas clásicos en el nivel 1</t>
        </is>
      </c>
      <c r="F90" s="8" t="inlineStr">
        <is>
          <t>HU-16</t>
        </is>
      </c>
      <c r="G90" s="8" t="inlineStr">
        <is>
          <t>No</t>
        </is>
      </c>
      <c r="H90" s="8" t="inlineStr">
        <is>
          <t>Aprobado</t>
        </is>
      </c>
      <c r="I90" s="10" t="inlineStr">
        <is>
          <t>Aprobado</t>
        </is>
      </c>
      <c r="J90" s="8">
        <f>IF(OR(H90="—",I90=""),"—",IF(H90=I90,"No","Sí"))</f>
        <v/>
      </c>
      <c r="K90" s="11" t="inlineStr">
        <is>
          <t>Luzzi</t>
        </is>
      </c>
      <c r="L90" s="12" t="n">
        <v>46307</v>
      </c>
      <c r="M90" s="11" t="n"/>
      <c r="N90" s="11" t="inlineStr">
        <is>
          <t>Mutación: Se agregan 30 s más de observación. Nivel 1 observado 40 s (30 s más que en la V1): tipos ['classic'], velocidades [5] celdas/s; ninguno atravesó muros, saltó, colocó frutas ni hizo dash. (Vidas repuestas por script.)</t>
        </is>
      </c>
      <c r="P90" s="7" t="inlineStr">
        <is>
          <t>E7 — Poderes de los fantasmas</t>
        </is>
      </c>
      <c r="Q90" s="8">
        <f>COUNTIF($C$4:$C$103,"E7")</f>
        <v/>
      </c>
      <c r="R90" s="8">
        <f>COUNTIFS($C$4:$C$103,"E7",$I$4:$I$103,"Aprobado")+COUNTIFS($C$4:$C$103,"E7",$I$4:$I$103,"Fallido")</f>
        <v/>
      </c>
      <c r="S90" s="8">
        <f>COUNTIFS($C$4:$C$103,"E7",$I$4:$I$103,"Aprobado")</f>
        <v/>
      </c>
      <c r="T90" s="8">
        <f>COUNTIFS($C$4:$C$103,"E7",$I$4:$I$103,"Fallido")</f>
        <v/>
      </c>
      <c r="U90" s="8">
        <f>COUNTIFS($C$4:$C$103,"E7",$I$4:$I$103,"Bloqueado")</f>
        <v/>
      </c>
      <c r="V90" s="17">
        <f>IFERROR(S90/R90,0)</f>
        <v/>
      </c>
    </row>
    <row r="91" ht="55.8" customHeight="1">
      <c r="A91" s="6" t="inlineStr">
        <is>
          <t>CP-050</t>
        </is>
      </c>
      <c r="B91" s="7" t="inlineStr">
        <is>
          <t>Regresión (V1, mutado)</t>
        </is>
      </c>
      <c r="C91" s="8" t="inlineStr">
        <is>
          <t>E4</t>
        </is>
      </c>
      <c r="D91" s="9" t="inlineStr">
        <is>
          <t>Alta</t>
        </is>
      </c>
      <c r="E91" s="7" t="inlineStr">
        <is>
          <t>Reaparición como clásico en el nivel 1</t>
        </is>
      </c>
      <c r="F91" s="8" t="inlineStr">
        <is>
          <t>HU-16</t>
        </is>
      </c>
      <c r="G91" s="8" t="inlineStr">
        <is>
          <t>No</t>
        </is>
      </c>
      <c r="H91" s="8" t="inlineStr">
        <is>
          <t>Aprobado</t>
        </is>
      </c>
      <c r="I91" s="10" t="inlineStr">
        <is>
          <t>Aprobado</t>
        </is>
      </c>
      <c r="J91" s="8">
        <f>IF(OR(H91="—",I91=""),"—",IF(H91=I91,"No","Sí"))</f>
        <v/>
      </c>
      <c r="K91" s="11" t="inlineStr">
        <is>
          <t>Luzzi</t>
        </is>
      </c>
      <c r="L91" s="12" t="n">
        <v>46307</v>
      </c>
      <c r="M91" s="11" t="n"/>
      <c r="N91" s="11" t="inlineStr">
        <is>
          <t>Mutación: 6 fantasmas comidos en lugar de 4. Nivel 1: 6 fantasmas comidos; reaparecieron como ['classic', 'classic', 'classic', 'classic', 'classic', 'classic']. (PowerUp prolongado y reaparición acelerada por script.)</t>
        </is>
      </c>
      <c r="P91" s="7" t="inlineStr">
        <is>
          <t>E8 — Dificultad del modo GhostMan</t>
        </is>
      </c>
      <c r="Q91" s="8">
        <f>COUNTIF($C$4:$C$103,"E8")</f>
        <v/>
      </c>
      <c r="R91" s="8">
        <f>COUNTIFS($C$4:$C$103,"E8",$I$4:$I$103,"Aprobado")+COUNTIFS($C$4:$C$103,"E8",$I$4:$I$103,"Fallido")</f>
        <v/>
      </c>
      <c r="S91" s="8">
        <f>COUNTIFS($C$4:$C$103,"E8",$I$4:$I$103,"Aprobado")</f>
        <v/>
      </c>
      <c r="T91" s="8">
        <f>COUNTIFS($C$4:$C$103,"E8",$I$4:$I$103,"Fallido")</f>
        <v/>
      </c>
      <c r="U91" s="8">
        <f>COUNTIFS($C$4:$C$103,"E8",$I$4:$I$103,"Bloqueado")</f>
        <v/>
      </c>
      <c r="V91" s="17">
        <f>IFERROR(S91/R91,0)</f>
        <v/>
      </c>
    </row>
    <row r="92" ht="55.8" customHeight="1">
      <c r="A92" s="6" t="inlineStr">
        <is>
          <t>CP-051</t>
        </is>
      </c>
      <c r="B92" s="7" t="inlineStr">
        <is>
          <t>Regresión (V1, mutado)</t>
        </is>
      </c>
      <c r="C92" s="8" t="inlineStr">
        <is>
          <t>E4</t>
        </is>
      </c>
      <c r="D92" s="9" t="inlineStr">
        <is>
          <t>Alta</t>
        </is>
      </c>
      <c r="E92" s="7" t="inlineStr">
        <is>
          <t>Composición inicial de fantasmas del nivel 2</t>
        </is>
      </c>
      <c r="F92" s="8" t="inlineStr">
        <is>
          <t>HU-17</t>
        </is>
      </c>
      <c r="G92" s="8" t="inlineStr">
        <is>
          <t>No</t>
        </is>
      </c>
      <c r="H92" s="8" t="inlineStr">
        <is>
          <t>Aprobado</t>
        </is>
      </c>
      <c r="I92" s="10" t="inlineStr">
        <is>
          <t>Aprobado</t>
        </is>
      </c>
      <c r="J92" s="8">
        <f>IF(OR(H92="—",I92=""),"—",IF(H92=I92,"No","Sí"))</f>
        <v/>
      </c>
      <c r="K92" s="11" t="inlineStr">
        <is>
          <t>Luzzi</t>
        </is>
      </c>
      <c r="L92" s="12" t="n">
        <v>46307</v>
      </c>
      <c r="M92" s="11" t="n"/>
      <c r="N92" s="11" t="inlineStr">
        <is>
          <t>Mutación: Sin cambios de datos: se verifica tras completar el nivel 1 con 2 vidas. Nivel 1 completado con 2 vidas; al iniciar el nivel 2 los cuatro fantasmas son ['classic', 'classic', 'classic', 'classic']. (Mapa reducido por script.)</t>
        </is>
      </c>
      <c r="P92" s="18" t="inlineStr">
        <is>
          <t>Total</t>
        </is>
      </c>
      <c r="Q92" s="19">
        <f>SUM(Q84:Q91)</f>
        <v/>
      </c>
      <c r="R92" s="19">
        <f>SUM(R84:R91)</f>
        <v/>
      </c>
      <c r="S92" s="19">
        <f>SUM(S84:S91)</f>
        <v/>
      </c>
      <c r="T92" s="19">
        <f>SUM(T84:T91)</f>
        <v/>
      </c>
      <c r="U92" s="19">
        <f>SUM(U84:U91)</f>
        <v/>
      </c>
      <c r="V92" s="20">
        <f>IFERROR(S92/R92,0)</f>
        <v/>
      </c>
    </row>
    <row r="93" ht="82.19999999999999" customHeight="1">
      <c r="A93" s="6" t="inlineStr">
        <is>
          <t>CP-052</t>
        </is>
      </c>
      <c r="B93" s="7" t="inlineStr">
        <is>
          <t>Regresión (V1, mutado)</t>
        </is>
      </c>
      <c r="C93" s="8" t="inlineStr">
        <is>
          <t>E4</t>
        </is>
      </c>
      <c r="D93" s="9" t="inlineStr">
        <is>
          <t>Alta</t>
        </is>
      </c>
      <c r="E93" s="7" t="inlineStr">
        <is>
          <t>Reaparición con poderes en el nivel 2</t>
        </is>
      </c>
      <c r="F93" s="8" t="inlineStr">
        <is>
          <t>HU-17</t>
        </is>
      </c>
      <c r="G93" s="8" t="inlineStr">
        <is>
          <t>No</t>
        </is>
      </c>
      <c r="H93" s="8" t="inlineStr">
        <is>
          <t>Aprobado</t>
        </is>
      </c>
      <c r="I93" s="10" t="inlineStr">
        <is>
          <t>Aprobado</t>
        </is>
      </c>
      <c r="J93" s="8">
        <f>IF(OR(H93="—",I93=""),"—",IF(H93=I93,"No","Sí"))</f>
        <v/>
      </c>
      <c r="K93" s="11" t="inlineStr">
        <is>
          <t>Luzzi</t>
        </is>
      </c>
      <c r="L93" s="12" t="n">
        <v>46307</v>
      </c>
      <c r="M93" s="11" t="n"/>
      <c r="N93" s="11" t="inlineStr">
        <is>
          <t>Mutación: Resultado esperado ajustado a la decisión 23: las reapariciones con poderes pueden ser de los cuatro tipos. Nivel 2: 24 reapariciones → {'naval': 7, 'classic': 11, 'specter': 3, 'jumper': 1, 'accelerated': 2} (13 con poderes, 54 %). Aparecen clásicos y los cuatro tipos con poderes, distinguibles a la vista. (PowerUp prolongado y reaparición acelerada por script.)</t>
        </is>
      </c>
    </row>
    <row r="94" ht="42.59999999999999" customHeight="1">
      <c r="A94" s="6" t="inlineStr">
        <is>
          <t>CP-053</t>
        </is>
      </c>
      <c r="B94" s="7" t="inlineStr">
        <is>
          <t>Regresión (V1, mutado)</t>
        </is>
      </c>
      <c r="C94" s="8" t="inlineStr">
        <is>
          <t>E4</t>
        </is>
      </c>
      <c r="D94" s="9" t="inlineStr">
        <is>
          <t>Alta</t>
        </is>
      </c>
      <c r="E94" s="7" t="inlineStr">
        <is>
          <t>Todos los fantasmas con poderes en el nivel 3</t>
        </is>
      </c>
      <c r="F94" s="8" t="inlineStr">
        <is>
          <t>HU-17</t>
        </is>
      </c>
      <c r="G94" s="8" t="inlineStr">
        <is>
          <t>No</t>
        </is>
      </c>
      <c r="H94" s="8" t="inlineStr">
        <is>
          <t>Aprobado</t>
        </is>
      </c>
      <c r="I94" s="10" t="inlineStr">
        <is>
          <t>Aprobado</t>
        </is>
      </c>
      <c r="J94" s="8">
        <f>IF(OR(H94="—",I94=""),"—",IF(H94=I94,"No","Sí"))</f>
        <v/>
      </c>
      <c r="K94" s="11" t="inlineStr">
        <is>
          <t>Luzzi</t>
        </is>
      </c>
      <c r="L94" s="12" t="n">
        <v>46307</v>
      </c>
      <c r="M94" s="11" t="n"/>
      <c r="N94" s="11" t="inlineStr">
        <is>
          <t>Mutación: Resultado esperado ajustado a la decisión 23: uno de cada tipo con poderes. Al iniciar el nivel 3 los fantasmas son ['specter', 'jumper', 'naval', 'accelerated']: uno de cada tipo con poderes.</t>
        </is>
      </c>
      <c r="P94" s="4" t="inlineStr">
        <is>
          <t>Organización del equipo de testing (sección 6.1)</t>
        </is>
      </c>
      <c r="Q94" s="5" t="n"/>
      <c r="R94" s="5" t="n"/>
      <c r="S94" s="5" t="n"/>
    </row>
    <row r="95" ht="69" customHeight="1">
      <c r="A95" s="6" t="inlineStr">
        <is>
          <t>CP-055</t>
        </is>
      </c>
      <c r="B95" s="7" t="inlineStr">
        <is>
          <t>Regresión (V1, mutado)</t>
        </is>
      </c>
      <c r="C95" s="8" t="inlineStr">
        <is>
          <t>E4</t>
        </is>
      </c>
      <c r="D95" s="9" t="inlineStr">
        <is>
          <t>Alta</t>
        </is>
      </c>
      <c r="E95" s="7" t="inlineStr">
        <is>
          <t>El espectro atraviesa una pared</t>
        </is>
      </c>
      <c r="F95" s="8" t="inlineStr">
        <is>
          <t>HU-18</t>
        </is>
      </c>
      <c r="G95" s="8" t="inlineStr">
        <is>
          <t>No</t>
        </is>
      </c>
      <c r="H95" s="8" t="inlineStr">
        <is>
          <t>Aprobado</t>
        </is>
      </c>
      <c r="I95" s="10" t="inlineStr">
        <is>
          <t>Aprobado</t>
        </is>
      </c>
      <c r="J95" s="8">
        <f>IF(OR(H95="—",I95=""),"—",IF(H95=I95,"No","Sí"))</f>
        <v/>
      </c>
      <c r="K95" s="11" t="inlineStr">
        <is>
          <t>Luzzi</t>
        </is>
      </c>
      <c r="L95" s="12" t="n">
        <v>46307</v>
      </c>
      <c r="M95" s="11" t="n"/>
      <c r="N95" s="11" t="inlineStr">
        <is>
          <t>Mutación: Precondición ajustada (decisión 23): se identifica al espectro entre los cuatro tipos del nivel 3. Espectro observado 60 s en el nivel 3: atravesó paredes 6 veces, cada vez una sola pared (el cruce es de muro + celda de salida; nunca una secuencia de paredes contiguas). (Vidas repuestas y otros fantasmas retirados por script.)</t>
        </is>
      </c>
      <c r="P95" s="13" t="inlineStr">
        <is>
          <t>Test Lead</t>
        </is>
      </c>
      <c r="Q95" s="7" t="inlineStr">
        <is>
          <t>Savoia</t>
        </is>
      </c>
      <c r="R95" s="14" t="n"/>
      <c r="S95" s="14" t="n"/>
    </row>
    <row r="96" ht="69" customHeight="1">
      <c r="A96" s="6" t="inlineStr">
        <is>
          <t>CP-057</t>
        </is>
      </c>
      <c r="B96" s="7" t="inlineStr">
        <is>
          <t>Regresión (V1, mutado)</t>
        </is>
      </c>
      <c r="C96" s="8" t="inlineStr">
        <is>
          <t>E4</t>
        </is>
      </c>
      <c r="D96" s="9" t="inlineStr">
        <is>
          <t>Alta</t>
        </is>
      </c>
      <c r="E96" s="7" t="inlineStr">
        <is>
          <t>Estado de gracia del espectro tras atravesar un muro</t>
        </is>
      </c>
      <c r="F96" s="8" t="inlineStr">
        <is>
          <t>HU-18</t>
        </is>
      </c>
      <c r="G96" s="8" t="inlineStr">
        <is>
          <t>No</t>
        </is>
      </c>
      <c r="H96" s="8" t="inlineStr">
        <is>
          <t>Aprobado</t>
        </is>
      </c>
      <c r="I96" s="10" t="inlineStr">
        <is>
          <t>Aprobado</t>
        </is>
      </c>
      <c r="J96" s="8">
        <f>IF(OR(H96="—",I96=""),"—",IF(H96=I96,"No","Sí"))</f>
        <v/>
      </c>
      <c r="K96" s="11" t="inlineStr">
        <is>
          <t>Luzzi</t>
        </is>
      </c>
      <c r="L96" s="12" t="n">
        <v>46307</v>
      </c>
      <c r="M96" s="11" t="n"/>
      <c r="N96" s="11" t="inlineStr">
        <is>
          <t>Mutación: Precondición ajustada (decisión 23): se identifica al espectro entre los cuatro tipos. Tras atravesar una pared, el contacto dentro de los 3 s no descontó vidas (3 → 3) y el espectro se veía translúcido y punteado (captura); pasados los 3 s el contacto descontó una vida (3 → 2). (Contacto provocado por script.)</t>
        </is>
      </c>
      <c r="P96" s="13" t="inlineStr">
        <is>
          <t>Diseño de casos de prueba (V2) y mutación de la regresión</t>
        </is>
      </c>
      <c r="Q96" s="7" t="inlineStr">
        <is>
          <t>Luzzi</t>
        </is>
      </c>
      <c r="R96" s="14" t="n"/>
      <c r="S96" s="14" t="n"/>
    </row>
    <row r="97" ht="69" customHeight="1">
      <c r="A97" s="6" t="inlineStr">
        <is>
          <t>CP-059</t>
        </is>
      </c>
      <c r="B97" s="7" t="inlineStr">
        <is>
          <t>Regresión (V1, mutado)</t>
        </is>
      </c>
      <c r="C97" s="8" t="inlineStr">
        <is>
          <t>E4</t>
        </is>
      </c>
      <c r="D97" s="9" t="inlineStr">
        <is>
          <t>Alta</t>
        </is>
      </c>
      <c r="E97" s="7" t="inlineStr">
        <is>
          <t>El espectro es vulnerable durante el PowerUp</t>
        </is>
      </c>
      <c r="F97" s="8" t="inlineStr">
        <is>
          <t>HU-18</t>
        </is>
      </c>
      <c r="G97" s="8" t="inlineStr">
        <is>
          <t>No</t>
        </is>
      </c>
      <c r="H97" s="8" t="inlineStr">
        <is>
          <t>Aprobado</t>
        </is>
      </c>
      <c r="I97" s="10" t="inlineStr">
        <is>
          <t>Aprobado</t>
        </is>
      </c>
      <c r="J97" s="8">
        <f>IF(OR(H97="—",I97=""),"—",IF(H97=I97,"No","Sí"))</f>
        <v/>
      </c>
      <c r="K97" s="11" t="inlineStr">
        <is>
          <t>Luzzi</t>
        </is>
      </c>
      <c r="L97" s="12" t="n">
        <v>46307</v>
      </c>
      <c r="M97" s="11" t="n"/>
      <c r="N97" s="11" t="inlineStr">
        <is>
          <t>Mutación: Precondición ajustada (decisión 23): se identifica al espectro entre los cuatro tipos. Con la esfera grande el espectro pasó a vulnerable; al comerlo sumó +200 (primer fantasma de la escala) y las vidas quedaron en 3. (Fantasmas retirados y posiciones preparadas por script para aislar la condición.)</t>
        </is>
      </c>
      <c r="P97" s="13" t="inlineStr">
        <is>
          <t>Ejecución y reporte de defectos (V2)</t>
        </is>
      </c>
      <c r="Q97" s="7" t="inlineStr">
        <is>
          <t>Luzzi</t>
        </is>
      </c>
      <c r="R97" s="14" t="n"/>
      <c r="S97" s="14" t="n"/>
    </row>
    <row r="98" ht="82.19999999999999" customHeight="1">
      <c r="A98" s="6" t="inlineStr">
        <is>
          <t>CP-060</t>
        </is>
      </c>
      <c r="B98" s="7" t="inlineStr">
        <is>
          <t>Regresión (V1, mutado)</t>
        </is>
      </c>
      <c r="C98" s="8" t="inlineStr">
        <is>
          <t>E4</t>
        </is>
      </c>
      <c r="D98" s="9" t="inlineStr">
        <is>
          <t>Alta</t>
        </is>
      </c>
      <c r="E98" s="7" t="inlineStr">
        <is>
          <t>Pantalla de Game Over</t>
        </is>
      </c>
      <c r="F98" s="8" t="inlineStr">
        <is>
          <t>HU-19</t>
        </is>
      </c>
      <c r="G98" s="8" t="inlineStr">
        <is>
          <t>Sí</t>
        </is>
      </c>
      <c r="H98" s="8" t="inlineStr">
        <is>
          <t>Aprobado</t>
        </is>
      </c>
      <c r="I98" s="10" t="inlineStr">
        <is>
          <t>Aprobado</t>
        </is>
      </c>
      <c r="J98" s="8">
        <f>IF(OR(H98="—",I98=""),"—",IF(H98=I98,"No","Sí"))</f>
        <v/>
      </c>
      <c r="K98" s="11" t="inlineStr">
        <is>
          <t>Luzzi</t>
        </is>
      </c>
      <c r="L98" s="12" t="n">
        <v>46307</v>
      </c>
      <c r="M98" s="11" t="n"/>
      <c r="N98" s="11" t="inlineStr">
        <is>
          <t>Mutación: Además se verifica la acción «Menú principal» (decisión 29). Última vida perdida en el nivel 1: pantalla «Game Over» con el puntaje desglosado (Esferas, Fantasmas comidos, Frutas, Bonus por tiempo, Bonus por vidas, Total) y las acciones «Volver a jugar» y «Menú principal»; «Menú principal» llevó al menú. (Vidas fijadas en 1 por script.)</t>
        </is>
      </c>
    </row>
    <row r="99" ht="69" customHeight="1">
      <c r="A99" s="6" t="inlineStr">
        <is>
          <t>CP-061</t>
        </is>
      </c>
      <c r="B99" s="7" t="inlineStr">
        <is>
          <t>Regresión (V1, mutado)</t>
        </is>
      </c>
      <c r="C99" s="8" t="inlineStr">
        <is>
          <t>E4</t>
        </is>
      </c>
      <c r="D99" s="9" t="inlineStr">
        <is>
          <t>Alta</t>
        </is>
      </c>
      <c r="E99" s="7" t="inlineStr">
        <is>
          <t>Pantalla de Victoria</t>
        </is>
      </c>
      <c r="F99" s="8" t="inlineStr">
        <is>
          <t>HU-19</t>
        </is>
      </c>
      <c r="G99" s="8" t="inlineStr">
        <is>
          <t>Sí</t>
        </is>
      </c>
      <c r="H99" s="8" t="inlineStr">
        <is>
          <t>Aprobado</t>
        </is>
      </c>
      <c r="I99" s="10" t="inlineStr">
        <is>
          <t>Aprobado</t>
        </is>
      </c>
      <c r="J99" s="8">
        <f>IF(OR(H99="—",I99=""),"—",IF(H99=I99,"No","Sí"))</f>
        <v/>
      </c>
      <c r="K99" s="11" t="inlineStr">
        <is>
          <t>Luzzi</t>
        </is>
      </c>
      <c r="L99" s="12" t="n">
        <v>46307</v>
      </c>
      <c r="M99" s="11" t="n"/>
      <c r="N99" s="11" t="inlineStr">
        <is>
          <t>Mutación: Además se verifica la acción «Menú principal» (decisión 29). Completado el nivel 3: pantalla «¡Victoria!» con el puntaje desglosado (Esferas, Fantasmas comidos, Frutas, Bonus por tiempo, Bonus por vidas, Total) y las acciones «Volver a jugar» y «Menú principal»; «Menú principal» llevó al menú. (Mapa reducido por script.)</t>
        </is>
      </c>
    </row>
    <row r="100" ht="82.19999999999999" customHeight="1">
      <c r="A100" s="6" t="inlineStr">
        <is>
          <t>CP-062</t>
        </is>
      </c>
      <c r="B100" s="7" t="inlineStr">
        <is>
          <t>Regresión (V1, mutado)</t>
        </is>
      </c>
      <c r="C100" s="8" t="inlineStr">
        <is>
          <t>E4</t>
        </is>
      </c>
      <c r="D100" s="9" t="inlineStr">
        <is>
          <t>Alta</t>
        </is>
      </c>
      <c r="E100" s="7" t="inlineStr">
        <is>
          <t>Reinicio completo del estado al volver a jugar</t>
        </is>
      </c>
      <c r="F100" s="8" t="inlineStr">
        <is>
          <t>HU-19</t>
        </is>
      </c>
      <c r="G100" s="8" t="inlineStr">
        <is>
          <t>Sí</t>
        </is>
      </c>
      <c r="H100" s="8" t="inlineStr">
        <is>
          <t>Aprobado</t>
        </is>
      </c>
      <c r="I100" s="10" t="inlineStr">
        <is>
          <t>Aprobado</t>
        </is>
      </c>
      <c r="J100" s="8">
        <f>IF(OR(H100="—",I100=""),"—",IF(H100=I100,"No","Sí"))</f>
        <v/>
      </c>
      <c r="K100" s="11" t="inlineStr">
        <is>
          <t>Luzzi</t>
        </is>
      </c>
      <c r="L100" s="12" t="n">
        <v>46307</v>
      </c>
      <c r="M100" s="11" t="n"/>
      <c r="N100" s="11" t="inlineStr">
        <is>
          <t>Mutación: Game Over en el nivel 2; se verifica además que «Volver a jugar» mantiene el modo Pacman (decisión 29). Game Over en el nivel 2 con 1200 puntos; «Volver a jugar» inició el modo Pacman en el nivel 1 con 3 vidas, puntaje 0 y 106 esferas (mapa completo); al pasar al nivel 2 su mapa también estaba completo (131 esferas). (Mapas reducidos por script para avanzar.)</t>
        </is>
      </c>
    </row>
    <row r="101" ht="69" customHeight="1">
      <c r="A101" s="6" t="inlineStr">
        <is>
          <t>CP-032</t>
        </is>
      </c>
      <c r="B101" s="7" t="inlineStr">
        <is>
          <t>Re-ejecución (Bloqueado en E1)</t>
        </is>
      </c>
      <c r="C101" s="8" t="inlineStr">
        <is>
          <t>E2</t>
        </is>
      </c>
      <c r="D101" s="9" t="inlineStr">
        <is>
          <t>Media</t>
        </is>
      </c>
      <c r="E101" s="7" t="inlineStr">
        <is>
          <t>El PowerUp se cancela al perder una vida</t>
        </is>
      </c>
      <c r="F101" s="8" t="inlineStr">
        <is>
          <t>HU-08</t>
        </is>
      </c>
      <c r="G101" s="8" t="inlineStr">
        <is>
          <t>No</t>
        </is>
      </c>
      <c r="H101" s="8" t="inlineStr">
        <is>
          <t>Bloqueado</t>
        </is>
      </c>
      <c r="I101" s="10" t="inlineStr">
        <is>
          <t>Aprobado</t>
        </is>
      </c>
      <c r="J101" s="8">
        <f>IF(OR(H101="—",I101=""),"—",IF(H101=I101,"No","Sí"))</f>
        <v/>
      </c>
      <c r="K101" s="11" t="inlineStr">
        <is>
          <t>Luzzi</t>
        </is>
      </c>
      <c r="L101" s="12" t="n">
        <v>46307</v>
      </c>
      <c r="M101" s="11" t="n"/>
      <c r="N101" s="11" t="inlineStr">
        <is>
          <t>Con el PowerUp activo, un fantasma recién reaparecido (no vulnerable) alcanzó a Pacman: vidas 3 → 2; al reanudarse el nivel el PowerUp quedó cancelado y los fantasmas con su diseño normal. (Reaparición y contacto preparados por script; en la Entrega 1 quedó Bloqueado por no poder provocar la condición.)</t>
        </is>
      </c>
    </row>
    <row r="102" ht="42.59999999999999" customHeight="1">
      <c r="A102" s="6" t="inlineStr">
        <is>
          <t>CP-034</t>
        </is>
      </c>
      <c r="B102" s="7" t="inlineStr">
        <is>
          <t>Confirmación DEF-001</t>
        </is>
      </c>
      <c r="C102" s="8" t="inlineStr">
        <is>
          <t>E3</t>
        </is>
      </c>
      <c r="D102" s="9" t="inlineStr">
        <is>
          <t>Media</t>
        </is>
      </c>
      <c r="E102" s="7" t="inlineStr">
        <is>
          <t>Presentación del contador de vidas</t>
        </is>
      </c>
      <c r="F102" s="8" t="inlineStr">
        <is>
          <t>HU-09</t>
        </is>
      </c>
      <c r="G102" s="8" t="inlineStr">
        <is>
          <t>No</t>
        </is>
      </c>
      <c r="H102" s="8" t="inlineStr">
        <is>
          <t>Fallido</t>
        </is>
      </c>
      <c r="I102" s="10" t="inlineStr">
        <is>
          <t>Aprobado</t>
        </is>
      </c>
      <c r="J102" s="8">
        <f>IF(OR(H102="—",I102=""),"—",IF(H102=I102,"No","Sí"))</f>
        <v/>
      </c>
      <c r="K102" s="11" t="inlineStr">
        <is>
          <t>Luzzi</t>
        </is>
      </c>
      <c r="L102" s="12" t="n">
        <v>46307</v>
      </c>
      <c r="M102" s="11" t="inlineStr">
        <is>
          <t>DEF-001</t>
        </is>
      </c>
      <c r="N102" s="11" t="inlineStr">
        <is>
          <t>Las vidas se muestran abajo a la izquierda, debajo del mapa, como 3 íconos de Pacman (sin número); al perder una vida quedan 2. CP-034: Fallido en Entrega 1 → Aprobado.</t>
        </is>
      </c>
    </row>
    <row r="103" ht="55.8" customHeight="1">
      <c r="A103" s="6" t="inlineStr">
        <is>
          <t>DEF-002</t>
        </is>
      </c>
      <c r="B103" s="7" t="inlineStr">
        <is>
          <t>Confirmación DEF-002</t>
        </is>
      </c>
      <c r="C103" s="8" t="inlineStr">
        <is>
          <t>E6</t>
        </is>
      </c>
      <c r="D103" s="9" t="inlineStr">
        <is>
          <t>Media</t>
        </is>
      </c>
      <c r="E103" s="7" t="inlineStr">
        <is>
          <t>El menú no cambia de opción con el puntero quieto</t>
        </is>
      </c>
      <c r="F103" s="8" t="inlineStr">
        <is>
          <t>HU-22</t>
        </is>
      </c>
      <c r="G103" s="8" t="inlineStr">
        <is>
          <t>No</t>
        </is>
      </c>
      <c r="H103" s="8" t="inlineStr">
        <is>
          <t>—</t>
        </is>
      </c>
      <c r="I103" s="10" t="inlineStr">
        <is>
          <t>Aprobado</t>
        </is>
      </c>
      <c r="J103" s="8">
        <f>IF(OR(H103="—",I103=""),"—",IF(H103=I103,"No","Sí"))</f>
        <v/>
      </c>
      <c r="K103" s="11" t="inlineStr">
        <is>
          <t>Luzzi</t>
        </is>
      </c>
      <c r="L103" s="12" t="n">
        <v>46307</v>
      </c>
      <c r="M103" s="11" t="inlineStr">
        <is>
          <t>DEF-002</t>
        </is>
      </c>
      <c r="N103" s="11" t="inlineStr">
        <is>
          <t>Tras elegir «Modo GhostMan» con un clic y recargar con el puntero quieto sobre esa opción, la seleccionada es «Modo PacMan» y Enter inició el modo Pacman (sin carrusel). (Prueba exploratoria: DEF-002 no tiene caso de prueba asociado.)</t>
        </is>
      </c>
    </row>
  </sheetData>
  <autoFilter ref="A3:N103"/>
  <mergeCells count="27">
    <mergeCell ref="P37:S37"/>
    <mergeCell ref="Q10:V10"/>
    <mergeCell ref="Q5:V5"/>
    <mergeCell ref="P3:S3"/>
    <mergeCell ref="Q4:V4"/>
    <mergeCell ref="P68:S68"/>
    <mergeCell ref="P42:V42"/>
    <mergeCell ref="A1:N1"/>
    <mergeCell ref="Q6:V6"/>
    <mergeCell ref="S79:V79"/>
    <mergeCell ref="P14:S14"/>
    <mergeCell ref="Q9:V9"/>
    <mergeCell ref="P76:V76"/>
    <mergeCell ref="Q95:S95"/>
    <mergeCell ref="P94:S94"/>
    <mergeCell ref="Q11:V11"/>
    <mergeCell ref="P60:V60"/>
    <mergeCell ref="S77:V77"/>
    <mergeCell ref="A2:N2"/>
    <mergeCell ref="Q7:V7"/>
    <mergeCell ref="Q96:S96"/>
    <mergeCell ref="Q12:V12"/>
    <mergeCell ref="P80:V80"/>
    <mergeCell ref="S78:V78"/>
    <mergeCell ref="P82:V82"/>
    <mergeCell ref="Q97:S97"/>
    <mergeCell ref="Q8:V8"/>
  </mergeCells>
  <conditionalFormatting sqref="I4:I103">
    <cfRule type="expression" priority="1" dxfId="0">
      <formula>$I4="Fallido"</formula>
    </cfRule>
    <cfRule type="expression" priority="2" dxfId="1">
      <formula>$I4="Bloqueado"</formula>
    </cfRule>
    <cfRule type="expression" priority="3" dxfId="2">
      <formula>$I4="Aprobado"</formula>
    </cfRule>
    <cfRule type="expression" priority="4" dxfId="3">
      <formula>$I4="No ejecutado"</formula>
    </cfRule>
    <cfRule type="expression" priority="5" dxfId="3">
      <formula>$I4="No aplica"</formula>
    </cfRule>
  </conditionalFormatting>
  <conditionalFormatting sqref="J4:J103">
    <cfRule type="expression" priority="6" dxfId="4">
      <formula>$J4="Sí"</formula>
    </cfRule>
  </conditionalFormatting>
  <dataValidations count="1">
    <dataValidation sqref="I4:I103" showDropDown="0" showInputMessage="0" showErrorMessage="0" allowBlank="1" type="list">
      <formula1>"Aprobado,Fallido,Bloqueado,No ejecutado,No aplica"</formula1>
    </dataValidation>
  </dataValidations>
  <hyperlinks>
    <hyperlink xmlns:r="http://schemas.openxmlformats.org/officeDocument/2006/relationships" ref="A4" r:id="rId1"/>
    <hyperlink xmlns:r="http://schemas.openxmlformats.org/officeDocument/2006/relationships" ref="A5" r:id="rId2"/>
    <hyperlink xmlns:r="http://schemas.openxmlformats.org/officeDocument/2006/relationships" ref="A6" r:id="rId3"/>
    <hyperlink xmlns:r="http://schemas.openxmlformats.org/officeDocument/2006/relationships" ref="A7" r:id="rId4"/>
    <hyperlink xmlns:r="http://schemas.openxmlformats.org/officeDocument/2006/relationships" ref="A8" r:id="rId5"/>
    <hyperlink xmlns:r="http://schemas.openxmlformats.org/officeDocument/2006/relationships" ref="A9" r:id="rId6"/>
    <hyperlink xmlns:r="http://schemas.openxmlformats.org/officeDocument/2006/relationships" ref="A10" r:id="rId7"/>
    <hyperlink xmlns:r="http://schemas.openxmlformats.org/officeDocument/2006/relationships" ref="A11" r:id="rId8"/>
    <hyperlink xmlns:r="http://schemas.openxmlformats.org/officeDocument/2006/relationships" ref="A12" r:id="rId9"/>
    <hyperlink xmlns:r="http://schemas.openxmlformats.org/officeDocument/2006/relationships" ref="A13" r:id="rId10"/>
    <hyperlink xmlns:r="http://schemas.openxmlformats.org/officeDocument/2006/relationships" ref="A14" r:id="rId11"/>
    <hyperlink xmlns:r="http://schemas.openxmlformats.org/officeDocument/2006/relationships" ref="A15" r:id="rId12"/>
    <hyperlink xmlns:r="http://schemas.openxmlformats.org/officeDocument/2006/relationships" ref="A16" r:id="rId13"/>
    <hyperlink xmlns:r="http://schemas.openxmlformats.org/officeDocument/2006/relationships" ref="A17" r:id="rId14"/>
    <hyperlink xmlns:r="http://schemas.openxmlformats.org/officeDocument/2006/relationships" ref="A18" r:id="rId15"/>
    <hyperlink xmlns:r="http://schemas.openxmlformats.org/officeDocument/2006/relationships" ref="A19" r:id="rId16"/>
    <hyperlink xmlns:r="http://schemas.openxmlformats.org/officeDocument/2006/relationships" ref="A20" r:id="rId17"/>
    <hyperlink xmlns:r="http://schemas.openxmlformats.org/officeDocument/2006/relationships" ref="A21" r:id="rId18"/>
    <hyperlink xmlns:r="http://schemas.openxmlformats.org/officeDocument/2006/relationships" ref="A22" r:id="rId19"/>
    <hyperlink xmlns:r="http://schemas.openxmlformats.org/officeDocument/2006/relationships" ref="A23" r:id="rId20"/>
    <hyperlink xmlns:r="http://schemas.openxmlformats.org/officeDocument/2006/relationships" ref="A24" r:id="rId21"/>
    <hyperlink xmlns:r="http://schemas.openxmlformats.org/officeDocument/2006/relationships" ref="A25" r:id="rId22"/>
    <hyperlink xmlns:r="http://schemas.openxmlformats.org/officeDocument/2006/relationships" ref="A26" r:id="rId23"/>
    <hyperlink xmlns:r="http://schemas.openxmlformats.org/officeDocument/2006/relationships" ref="A27" r:id="rId24"/>
    <hyperlink xmlns:r="http://schemas.openxmlformats.org/officeDocument/2006/relationships" ref="A28" r:id="rId25"/>
    <hyperlink xmlns:r="http://schemas.openxmlformats.org/officeDocument/2006/relationships" ref="A29" r:id="rId26"/>
    <hyperlink xmlns:r="http://schemas.openxmlformats.org/officeDocument/2006/relationships" ref="A30" r:id="rId27"/>
    <hyperlink xmlns:r="http://schemas.openxmlformats.org/officeDocument/2006/relationships" ref="A31" r:id="rId28"/>
    <hyperlink xmlns:r="http://schemas.openxmlformats.org/officeDocument/2006/relationships" ref="A32" r:id="rId29"/>
    <hyperlink xmlns:r="http://schemas.openxmlformats.org/officeDocument/2006/relationships" ref="A33" r:id="rId30"/>
    <hyperlink xmlns:r="http://schemas.openxmlformats.org/officeDocument/2006/relationships" ref="A34" r:id="rId31"/>
    <hyperlink xmlns:r="http://schemas.openxmlformats.org/officeDocument/2006/relationships" ref="A35" r:id="rId32"/>
    <hyperlink xmlns:r="http://schemas.openxmlformats.org/officeDocument/2006/relationships" ref="A36" r:id="rId33"/>
    <hyperlink xmlns:r="http://schemas.openxmlformats.org/officeDocument/2006/relationships" ref="A37" r:id="rId34"/>
    <hyperlink xmlns:r="http://schemas.openxmlformats.org/officeDocument/2006/relationships" ref="A38" r:id="rId35"/>
    <hyperlink xmlns:r="http://schemas.openxmlformats.org/officeDocument/2006/relationships" ref="A39" r:id="rId36"/>
    <hyperlink xmlns:r="http://schemas.openxmlformats.org/officeDocument/2006/relationships" ref="A40" r:id="rId37"/>
    <hyperlink xmlns:r="http://schemas.openxmlformats.org/officeDocument/2006/relationships" ref="A41" r:id="rId38"/>
    <hyperlink xmlns:r="http://schemas.openxmlformats.org/officeDocument/2006/relationships" ref="A42" r:id="rId39"/>
    <hyperlink xmlns:r="http://schemas.openxmlformats.org/officeDocument/2006/relationships" ref="A43" r:id="rId40"/>
    <hyperlink xmlns:r="http://schemas.openxmlformats.org/officeDocument/2006/relationships" ref="A44" r:id="rId41"/>
    <hyperlink xmlns:r="http://schemas.openxmlformats.org/officeDocument/2006/relationships" ref="A45" r:id="rId42"/>
    <hyperlink xmlns:r="http://schemas.openxmlformats.org/officeDocument/2006/relationships" ref="A46" r:id="rId43"/>
    <hyperlink xmlns:r="http://schemas.openxmlformats.org/officeDocument/2006/relationships" ref="A47" r:id="rId44"/>
    <hyperlink xmlns:r="http://schemas.openxmlformats.org/officeDocument/2006/relationships" ref="A48" r:id="rId45"/>
    <hyperlink xmlns:r="http://schemas.openxmlformats.org/officeDocument/2006/relationships" ref="A49" r:id="rId46"/>
    <hyperlink xmlns:r="http://schemas.openxmlformats.org/officeDocument/2006/relationships" ref="A50" r:id="rId47"/>
    <hyperlink xmlns:r="http://schemas.openxmlformats.org/officeDocument/2006/relationships" ref="A51" r:id="rId48"/>
    <hyperlink xmlns:r="http://schemas.openxmlformats.org/officeDocument/2006/relationships" ref="A52" r:id="rId49"/>
    <hyperlink xmlns:r="http://schemas.openxmlformats.org/officeDocument/2006/relationships" ref="A53" r:id="rId50"/>
    <hyperlink xmlns:r="http://schemas.openxmlformats.org/officeDocument/2006/relationships" ref="A54" r:id="rId51"/>
    <hyperlink xmlns:r="http://schemas.openxmlformats.org/officeDocument/2006/relationships" ref="A55" r:id="rId52"/>
    <hyperlink xmlns:r="http://schemas.openxmlformats.org/officeDocument/2006/relationships" ref="A56" r:id="rId53"/>
    <hyperlink xmlns:r="http://schemas.openxmlformats.org/officeDocument/2006/relationships" ref="A57" r:id="rId54"/>
    <hyperlink xmlns:r="http://schemas.openxmlformats.org/officeDocument/2006/relationships" ref="A58" r:id="rId55"/>
    <hyperlink xmlns:r="http://schemas.openxmlformats.org/officeDocument/2006/relationships" ref="A59" r:id="rId56"/>
    <hyperlink xmlns:r="http://schemas.openxmlformats.org/officeDocument/2006/relationships" ref="A60" r:id="rId57"/>
    <hyperlink xmlns:r="http://schemas.openxmlformats.org/officeDocument/2006/relationships" ref="A61" r:id="rId58"/>
    <hyperlink xmlns:r="http://schemas.openxmlformats.org/officeDocument/2006/relationships" ref="A62" r:id="rId59"/>
    <hyperlink xmlns:r="http://schemas.openxmlformats.org/officeDocument/2006/relationships" ref="A63" r:id="rId60"/>
    <hyperlink xmlns:r="http://schemas.openxmlformats.org/officeDocument/2006/relationships" ref="A64" r:id="rId61"/>
    <hyperlink xmlns:r="http://schemas.openxmlformats.org/officeDocument/2006/relationships" ref="A65" r:id="rId62"/>
    <hyperlink xmlns:r="http://schemas.openxmlformats.org/officeDocument/2006/relationships" ref="A66" r:id="rId63"/>
    <hyperlink xmlns:r="http://schemas.openxmlformats.org/officeDocument/2006/relationships" ref="A67" r:id="rId64"/>
    <hyperlink xmlns:r="http://schemas.openxmlformats.org/officeDocument/2006/relationships" ref="A68" r:id="rId65"/>
    <hyperlink xmlns:r="http://schemas.openxmlformats.org/officeDocument/2006/relationships" ref="A69" r:id="rId66"/>
    <hyperlink xmlns:r="http://schemas.openxmlformats.org/officeDocument/2006/relationships" ref="A70" r:id="rId67"/>
    <hyperlink xmlns:r="http://schemas.openxmlformats.org/officeDocument/2006/relationships" ref="A71" r:id="rId68"/>
    <hyperlink xmlns:r="http://schemas.openxmlformats.org/officeDocument/2006/relationships" ref="A72" r:id="rId69"/>
    <hyperlink xmlns:r="http://schemas.openxmlformats.org/officeDocument/2006/relationships" ref="A73" r:id="rId70"/>
    <hyperlink xmlns:r="http://schemas.openxmlformats.org/officeDocument/2006/relationships" ref="A74" r:id="rId71"/>
    <hyperlink xmlns:r="http://schemas.openxmlformats.org/officeDocument/2006/relationships" ref="A75" r:id="rId72"/>
    <hyperlink xmlns:r="http://schemas.openxmlformats.org/officeDocument/2006/relationships" ref="A76" r:id="rId73"/>
    <hyperlink xmlns:r="http://schemas.openxmlformats.org/officeDocument/2006/relationships" ref="A77" r:id="rId74"/>
    <hyperlink xmlns:r="http://schemas.openxmlformats.org/officeDocument/2006/relationships" ref="A78" r:id="rId75"/>
    <hyperlink xmlns:r="http://schemas.openxmlformats.org/officeDocument/2006/relationships" ref="A79" r:id="rId76"/>
    <hyperlink xmlns:r="http://schemas.openxmlformats.org/officeDocument/2006/relationships" ref="A80" r:id="rId77"/>
    <hyperlink xmlns:r="http://schemas.openxmlformats.org/officeDocument/2006/relationships" ref="A81" r:id="rId78"/>
    <hyperlink xmlns:r="http://schemas.openxmlformats.org/officeDocument/2006/relationships" ref="A82" r:id="rId79"/>
    <hyperlink xmlns:r="http://schemas.openxmlformats.org/officeDocument/2006/relationships" ref="A83" r:id="rId80"/>
    <hyperlink xmlns:r="http://schemas.openxmlformats.org/officeDocument/2006/relationships" ref="A84" r:id="rId81"/>
    <hyperlink xmlns:r="http://schemas.openxmlformats.org/officeDocument/2006/relationships" ref="A85" r:id="rId82"/>
    <hyperlink xmlns:r="http://schemas.openxmlformats.org/officeDocument/2006/relationships" ref="A86" r:id="rId83"/>
    <hyperlink xmlns:r="http://schemas.openxmlformats.org/officeDocument/2006/relationships" ref="A87" r:id="rId84"/>
    <hyperlink xmlns:r="http://schemas.openxmlformats.org/officeDocument/2006/relationships" ref="A88" r:id="rId85"/>
    <hyperlink xmlns:r="http://schemas.openxmlformats.org/officeDocument/2006/relationships" ref="A89" r:id="rId86"/>
    <hyperlink xmlns:r="http://schemas.openxmlformats.org/officeDocument/2006/relationships" ref="A90" r:id="rId87"/>
    <hyperlink xmlns:r="http://schemas.openxmlformats.org/officeDocument/2006/relationships" ref="A91" r:id="rId88"/>
    <hyperlink xmlns:r="http://schemas.openxmlformats.org/officeDocument/2006/relationships" ref="A92" r:id="rId89"/>
    <hyperlink xmlns:r="http://schemas.openxmlformats.org/officeDocument/2006/relationships" ref="A93" r:id="rId90"/>
    <hyperlink xmlns:r="http://schemas.openxmlformats.org/officeDocument/2006/relationships" ref="A94" r:id="rId91"/>
    <hyperlink xmlns:r="http://schemas.openxmlformats.org/officeDocument/2006/relationships" ref="A95" r:id="rId92"/>
    <hyperlink xmlns:r="http://schemas.openxmlformats.org/officeDocument/2006/relationships" ref="A96" r:id="rId93"/>
    <hyperlink xmlns:r="http://schemas.openxmlformats.org/officeDocument/2006/relationships" ref="A97" r:id="rId94"/>
    <hyperlink xmlns:r="http://schemas.openxmlformats.org/officeDocument/2006/relationships" ref="A98" r:id="rId95"/>
    <hyperlink xmlns:r="http://schemas.openxmlformats.org/officeDocument/2006/relationships" ref="A99" r:id="rId96"/>
    <hyperlink xmlns:r="http://schemas.openxmlformats.org/officeDocument/2006/relationships" ref="A100" r:id="rId97"/>
    <hyperlink xmlns:r="http://schemas.openxmlformats.org/officeDocument/2006/relationships" ref="A101" r:id="rId98"/>
    <hyperlink xmlns:r="http://schemas.openxmlformats.org/officeDocument/2006/relationships" ref="A102" r:id="rId99"/>
    <hyperlink xmlns:r="http://schemas.openxmlformats.org/officeDocument/2006/relationships" ref="A103" r:id="rId100"/>
  </hyperlinks>
  <pageMargins left="0.75" right="0.75" top="1" bottom="1" header="0.5" footer="0.5"/>
  <pageSetup orientation="landscape" fitToHeight="0" fitToWidth="1"/>
  <drawing xmlns:r="http://schemas.openxmlformats.org/officeDocument/2006/relationships" r:id="rId101"/>
</worksheet>
</file>

<file path=xl/worksheets/sheet2.xml><?xml version="1.0" encoding="utf-8"?>
<worksheet xmlns="http://schemas.openxmlformats.org/spreadsheetml/2006/main">
  <sheetPr>
    <tabColor rgb="00C00000"/>
    <outlinePr summaryBelow="1" summaryRight="1"/>
    <pageSetUpPr/>
  </sheetPr>
  <dimension ref="A1:R10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12" customWidth="1" min="3" max="3"/>
    <col width="9" customWidth="1" min="4" max="4"/>
    <col width="10" customWidth="1" min="5" max="5"/>
    <col width="10" customWidth="1" min="6" max="6"/>
    <col width="13" customWidth="1" min="7" max="7"/>
    <col width="22" customWidth="1" min="8" max="8"/>
    <col width="22" customWidth="1" min="9" max="9"/>
    <col width="13" customWidth="1" min="10" max="10"/>
    <col width="15" customWidth="1" min="11" max="11"/>
    <col width="14" customWidth="1" min="12" max="12"/>
    <col width="12" customWidth="1" min="13" max="13"/>
    <col width="60" customWidth="1" min="14" max="14"/>
    <col width="3" customWidth="1" min="15" max="15"/>
    <col width="3" customWidth="1" min="16" max="16"/>
    <col width="40" customWidth="1" min="17" max="17"/>
    <col width="10" customWidth="1" min="18" max="18"/>
  </cols>
  <sheetData>
    <row r="1" ht="24" customHeight="1">
      <c r="A1" s="25" t="inlineStr">
        <is>
          <t>GhostMan - Entrega 2 - Registro de defectos (V1 y V2, ciclo 2)</t>
        </is>
      </c>
    </row>
    <row r="2" ht="28" customHeight="1">
      <c r="A2" s="2" t="inlineStr">
        <is>
          <t>Una fila por defecto, en orden de detección. Los defectos de la V2 continúan la numeración de la V1 (sección 12 de la Entrega 02). Campos de la sección 13.3; severidad y prioridad según 13.1; estado según 13.2. El detalle completo va en la hoja con el ID del defecto.</t>
        </is>
      </c>
    </row>
    <row r="3">
      <c r="A3" s="2" t="inlineStr">
        <is>
          <t>Todo defecto debe ser confirmado por un integrante distinto del que lo reportó antes de pasar a corrección, y verificado por un integrante distinto antes de cerrarse (13.2).</t>
        </is>
      </c>
    </row>
    <row r="4" ht="30" customHeight="1">
      <c r="A4" s="26" t="inlineStr">
        <is>
          <t>ID</t>
        </is>
      </c>
      <c r="B4" s="26" t="inlineStr">
        <is>
          <t>Título</t>
        </is>
      </c>
      <c r="C4" s="26" t="inlineStr">
        <is>
          <t>Caso de prueba</t>
        </is>
      </c>
      <c r="D4" s="26" t="inlineStr">
        <is>
          <t>HU</t>
        </is>
      </c>
      <c r="E4" s="26" t="inlineStr">
        <is>
          <t>Severidad</t>
        </is>
      </c>
      <c r="F4" s="26" t="inlineStr">
        <is>
          <t>Prioridad</t>
        </is>
      </c>
      <c r="G4" s="26" t="inlineStr">
        <is>
          <t>Estado</t>
        </is>
      </c>
      <c r="H4" s="26" t="inlineStr">
        <is>
          <t>Versión / commit</t>
        </is>
      </c>
      <c r="I4" s="26" t="inlineStr">
        <is>
          <t>Entorno (navegador, resolución)</t>
        </is>
      </c>
      <c r="J4" s="26" t="inlineStr">
        <is>
          <t>Reproducibilidad</t>
        </is>
      </c>
      <c r="K4" s="26" t="inlineStr">
        <is>
          <t>Reportado por</t>
        </is>
      </c>
      <c r="L4" s="26" t="inlineStr">
        <is>
          <t>Confirmado por</t>
        </is>
      </c>
      <c r="M4" s="26" t="inlineStr">
        <is>
          <t>Fecha</t>
        </is>
      </c>
      <c r="N4" s="26" t="inlineStr">
        <is>
          <t>Observaciones</t>
        </is>
      </c>
      <c r="Q4" s="27" t="inlineStr">
        <is>
          <t>Defectos por severidad</t>
        </is>
      </c>
      <c r="R4" s="28" t="n"/>
    </row>
    <row r="5" ht="82.19999999999999" customHeight="1">
      <c r="A5" s="29" t="inlineStr">
        <is>
          <t>DEF-001</t>
        </is>
      </c>
      <c r="B5" s="11" t="inlineStr">
        <is>
          <t>El contador de vidas se muestra arriba a la derecha como círculos amarillos en lugar de íconos de Pacman abajo a la izquierda</t>
        </is>
      </c>
      <c r="C5" s="11" t="inlineStr">
        <is>
          <t>CP-034</t>
        </is>
      </c>
      <c r="D5" s="11" t="inlineStr">
        <is>
          <t>HU-09</t>
        </is>
      </c>
      <c r="E5" s="11" t="inlineStr">
        <is>
          <t>Menor</t>
        </is>
      </c>
      <c r="F5" s="11" t="inlineStr">
        <is>
          <t>Media</t>
        </is>
      </c>
      <c r="G5" s="11" t="inlineStr">
        <is>
          <t>Verificado</t>
        </is>
      </c>
      <c r="H5" s="11" t="inlineStr">
        <is>
          <t>V1 - commit a completar (corregido en V2 - 7ec70df)</t>
        </is>
      </c>
      <c r="I5" s="11" t="inlineStr">
        <is>
          <t>Chrome 154 escritorio (macOS), 1291 × 693</t>
        </is>
      </c>
      <c r="J5" s="11" t="inlineStr">
        <is>
          <t>Siempre</t>
        </is>
      </c>
      <c r="K5" s="11" t="inlineStr">
        <is>
          <t>Rodriguez Castro</t>
        </is>
      </c>
      <c r="L5" s="11" t="inlineStr">
        <is>
          <t>Luzzi</t>
        </is>
      </c>
      <c r="M5" s="15" t="n">
        <v>46294</v>
      </c>
      <c r="N5" s="11" t="inlineStr">
        <is>
          <t>Detectado en la Entrega 1. Corregido en el commit 7ec70df: las vidas del modo Pacman pasan a una barra debajo del mapa, abajo a la izquierda, con íconos de Pacman. Verificado el 12/10/2026 con la prueba de confirmación (CP-034, Aprobado, Chromium 141). Además, CP-047 de la regresión registró la barra en los tres niveles.</t>
        </is>
      </c>
      <c r="Q5" s="13" t="inlineStr">
        <is>
          <t>Bloqueante</t>
        </is>
      </c>
      <c r="R5" s="8">
        <f>COUNTIF($E$5:$E$104,"Bloqueante")</f>
        <v/>
      </c>
    </row>
    <row r="6" ht="108.6" customHeight="1">
      <c r="A6" s="29" t="inlineStr">
        <is>
          <t>DEF-002</t>
        </is>
      </c>
      <c r="B6" s="11" t="inlineStr">
        <is>
          <t>El menú principal elige la opción que tiene el puntero encima al cargar la página, aunque el mouse no se haya movido</t>
        </is>
      </c>
      <c r="C6" s="11" t="inlineStr">
        <is>
          <t>Exploratoria</t>
        </is>
      </c>
      <c r="D6" s="11" t="inlineStr">
        <is>
          <t>HU-22</t>
        </is>
      </c>
      <c r="E6" s="11" t="inlineStr">
        <is>
          <t>Menor</t>
        </is>
      </c>
      <c r="F6" s="11" t="inlineStr">
        <is>
          <t>Media</t>
        </is>
      </c>
      <c r="G6" s="11" t="inlineStr">
        <is>
          <t>Corregido</t>
        </is>
      </c>
      <c r="H6" s="11" t="inlineStr">
        <is>
          <t>V2 - b451d52 (corregido en 65df127)</t>
        </is>
      </c>
      <c r="I6" s="11" t="inlineStr">
        <is>
          <t>Chromium sin interfaz (Linux), 700 × 600</t>
        </is>
      </c>
      <c r="J6" s="11" t="inlineStr">
        <is>
          <t>Siempre</t>
        </is>
      </c>
      <c r="K6" s="11" t="inlineStr">
        <is>
          <t>Luzzi</t>
        </is>
      </c>
      <c r="L6" s="11" t="n"/>
      <c r="M6" s="15" t="n">
        <v>46307</v>
      </c>
      <c r="N6" s="11" t="inlineStr">
        <is>
          <t>Lo detectó el script scripts/verify/ui/inc10-menu-carrusel.js: tras elegir Modo GhostMan con un clic y recargar la página, Enter abre el carrusel en lugar de iniciar el Modo PacMan, porque el puntero quedó sobre esa opción. Corrección: la selección cambia solo con un movimiento real del mouse. La prueba de confirmación del 12/10/2026 dio Aprobado; falta que otro integrante lo confirme y lo verifique para pasarlo a Verificado.</t>
        </is>
      </c>
      <c r="Q6" s="13" t="inlineStr">
        <is>
          <t>Crítica</t>
        </is>
      </c>
      <c r="R6" s="8">
        <f>COUNTIF($E$5:$E$104,"Crítica")</f>
        <v/>
      </c>
    </row>
    <row r="7" ht="174.6" customHeight="1">
      <c r="A7" s="29" t="inlineStr">
        <is>
          <t>DEF-003</t>
        </is>
      </c>
      <c r="B7" s="11" t="inlineStr">
        <is>
          <t>En modo GhostMan, el toque de un fantasma de la IA no le descuenta una vida a Pacman sin PowerUp</t>
        </is>
      </c>
      <c r="C7" s="11" t="inlineStr">
        <is>
          <t>Exploratoria</t>
        </is>
      </c>
      <c r="D7" s="11" t="inlineStr">
        <is>
          <t>HU-25</t>
        </is>
      </c>
      <c r="E7" s="11" t="inlineStr">
        <is>
          <t>Mayor</t>
        </is>
      </c>
      <c r="F7" s="11" t="inlineStr">
        <is>
          <t>Media</t>
        </is>
      </c>
      <c r="G7" s="11" t="inlineStr">
        <is>
          <t>Rechazado</t>
        </is>
      </c>
      <c r="H7" s="11" t="inlineStr">
        <is>
          <t>V2 - 7ec70df</t>
        </is>
      </c>
      <c r="I7" s="11" t="inlineStr">
        <is>
          <t>Completar (navegador y resolución con los que probó Tsai)</t>
        </is>
      </c>
      <c r="J7" s="11" t="inlineStr">
        <is>
          <t>Siempre</t>
        </is>
      </c>
      <c r="K7" s="11" t="inlineStr">
        <is>
          <t>Tsai</t>
        </is>
      </c>
      <c r="L7" s="11" t="inlineStr">
        <is>
          <t>Luzzi</t>
        </is>
      </c>
      <c r="M7" s="15" t="n">
        <v>46307</v>
      </c>
      <c r="N7" s="11" t="inlineStr">
        <is>
          <t>Reportado por Tsai al probar el juego. Al triarlo se rechazó: el comportamiento es el especificado. La HU-25 dice «Solo cuentan las derrotas producidas por el fantasma del jugador: las producidas por los fantasmas de la IA no incrementan el contador», y la decisión 19 (sección 5 de la Entrega 02) define que el toque de un fantasma de la IA devuelve a Pacman a su posición inicial sin descontarle vidas. Como en modo GhostMan las vidas de Pacman son el contador de derrotas (decisión 18), descontarlas por la IA contradiría la HU-25. Lo cubren CP-078 y CP-144 (Aprobados en el ciclo 2). Si el equipo quiere cambiar la regla, va como cambio de especificación (decisión 19), no como defecto.</t>
        </is>
      </c>
      <c r="Q7" s="13" t="inlineStr">
        <is>
          <t>Mayor</t>
        </is>
      </c>
      <c r="R7" s="8">
        <f>COUNTIF($E$5:$E$104,"Mayor")</f>
        <v/>
      </c>
    </row>
    <row r="8">
      <c r="A8" s="11" t="n"/>
      <c r="B8" s="11" t="n"/>
      <c r="C8" s="11" t="n"/>
      <c r="D8" s="11" t="n"/>
      <c r="E8" s="11" t="n"/>
      <c r="F8" s="11" t="n"/>
      <c r="G8" s="11" t="n"/>
      <c r="H8" s="11" t="n"/>
      <c r="I8" s="11" t="n"/>
      <c r="J8" s="11" t="n"/>
      <c r="K8" s="11" t="n"/>
      <c r="L8" s="11" t="n"/>
      <c r="M8" s="15" t="n"/>
      <c r="N8" s="11" t="n"/>
      <c r="Q8" s="13" t="inlineStr">
        <is>
          <t>Menor</t>
        </is>
      </c>
      <c r="R8" s="8">
        <f>COUNTIF($E$5:$E$104,"Menor")</f>
        <v/>
      </c>
    </row>
    <row r="9">
      <c r="A9" s="11" t="n"/>
      <c r="B9" s="11" t="n"/>
      <c r="C9" s="11" t="n"/>
      <c r="D9" s="11" t="n"/>
      <c r="E9" s="11" t="n"/>
      <c r="F9" s="11" t="n"/>
      <c r="G9" s="11" t="n"/>
      <c r="H9" s="11" t="n"/>
      <c r="I9" s="11" t="n"/>
      <c r="J9" s="11" t="n"/>
      <c r="K9" s="11" t="n"/>
      <c r="L9" s="11" t="n"/>
      <c r="M9" s="15" t="n"/>
      <c r="N9" s="11" t="n"/>
      <c r="Q9" s="13" t="inlineStr">
        <is>
          <t>Trivial</t>
        </is>
      </c>
      <c r="R9" s="8">
        <f>COUNTIF($E$5:$E$104,"Trivial")</f>
        <v/>
      </c>
    </row>
    <row r="10">
      <c r="A10" s="11" t="n"/>
      <c r="B10" s="11" t="n"/>
      <c r="C10" s="11" t="n"/>
      <c r="D10" s="11" t="n"/>
      <c r="E10" s="11" t="n"/>
      <c r="F10" s="11" t="n"/>
      <c r="G10" s="11" t="n"/>
      <c r="H10" s="11" t="n"/>
      <c r="I10" s="11" t="n"/>
      <c r="J10" s="11" t="n"/>
      <c r="K10" s="11" t="n"/>
      <c r="L10" s="11" t="n"/>
      <c r="M10" s="15" t="n"/>
      <c r="N10" s="11" t="n"/>
      <c r="Q10" s="13" t="inlineStr">
        <is>
          <t>Total</t>
        </is>
      </c>
      <c r="R10" s="19">
        <f>COUNTA($A$5:$A$104)</f>
        <v/>
      </c>
    </row>
    <row r="11">
      <c r="A11" s="11" t="n"/>
      <c r="B11" s="11" t="n"/>
      <c r="C11" s="11" t="n"/>
      <c r="D11" s="11" t="n"/>
      <c r="E11" s="11" t="n"/>
      <c r="F11" s="11" t="n"/>
      <c r="G11" s="11" t="n"/>
      <c r="H11" s="11" t="n"/>
      <c r="I11" s="11" t="n"/>
      <c r="J11" s="11" t="n"/>
      <c r="K11" s="11" t="n"/>
      <c r="L11" s="11" t="n"/>
      <c r="M11" s="15" t="n"/>
      <c r="N11" s="11" t="n"/>
    </row>
    <row r="12">
      <c r="A12" s="11" t="n"/>
      <c r="B12" s="11" t="n"/>
      <c r="C12" s="11" t="n"/>
      <c r="D12" s="11" t="n"/>
      <c r="E12" s="11" t="n"/>
      <c r="F12" s="11" t="n"/>
      <c r="G12" s="11" t="n"/>
      <c r="H12" s="11" t="n"/>
      <c r="I12" s="11" t="n"/>
      <c r="J12" s="11" t="n"/>
      <c r="K12" s="11" t="n"/>
      <c r="L12" s="11" t="n"/>
      <c r="M12" s="15" t="n"/>
      <c r="N12" s="11" t="n"/>
      <c r="Q12" s="27" t="inlineStr">
        <is>
          <t>Defectos por estado</t>
        </is>
      </c>
      <c r="R12" s="28" t="n"/>
    </row>
    <row r="13">
      <c r="A13" s="11" t="n"/>
      <c r="B13" s="11" t="n"/>
      <c r="C13" s="11" t="n"/>
      <c r="D13" s="11" t="n"/>
      <c r="E13" s="11" t="n"/>
      <c r="F13" s="11" t="n"/>
      <c r="G13" s="11" t="n"/>
      <c r="H13" s="11" t="n"/>
      <c r="I13" s="11" t="n"/>
      <c r="J13" s="11" t="n"/>
      <c r="K13" s="11" t="n"/>
      <c r="L13" s="11" t="n"/>
      <c r="M13" s="15" t="n"/>
      <c r="N13" s="11" t="n"/>
      <c r="Q13" s="13" t="inlineStr">
        <is>
          <t>Nuevo</t>
        </is>
      </c>
      <c r="R13" s="8">
        <f>COUNTIF($G$5:$G$104,"Nuevo")</f>
        <v/>
      </c>
    </row>
    <row r="14">
      <c r="A14" s="11" t="n"/>
      <c r="B14" s="11" t="n"/>
      <c r="C14" s="11" t="n"/>
      <c r="D14" s="11" t="n"/>
      <c r="E14" s="11" t="n"/>
      <c r="F14" s="11" t="n"/>
      <c r="G14" s="11" t="n"/>
      <c r="H14" s="11" t="n"/>
      <c r="I14" s="11" t="n"/>
      <c r="J14" s="11" t="n"/>
      <c r="K14" s="11" t="n"/>
      <c r="L14" s="11" t="n"/>
      <c r="M14" s="15" t="n"/>
      <c r="N14" s="11" t="n"/>
      <c r="Q14" s="13" t="inlineStr">
        <is>
          <t>Confirmado</t>
        </is>
      </c>
      <c r="R14" s="8">
        <f>COUNTIF($G$5:$G$104,"Confirmado")</f>
        <v/>
      </c>
    </row>
    <row r="15">
      <c r="A15" s="11" t="n"/>
      <c r="B15" s="11" t="n"/>
      <c r="C15" s="11" t="n"/>
      <c r="D15" s="11" t="n"/>
      <c r="E15" s="11" t="n"/>
      <c r="F15" s="11" t="n"/>
      <c r="G15" s="11" t="n"/>
      <c r="H15" s="11" t="n"/>
      <c r="I15" s="11" t="n"/>
      <c r="J15" s="11" t="n"/>
      <c r="K15" s="11" t="n"/>
      <c r="L15" s="11" t="n"/>
      <c r="M15" s="15" t="n"/>
      <c r="N15" s="11" t="n"/>
      <c r="Q15" s="13" t="inlineStr">
        <is>
          <t>No reproducible</t>
        </is>
      </c>
      <c r="R15" s="8">
        <f>COUNTIF($G$5:$G$104,"No reproducible")</f>
        <v/>
      </c>
    </row>
    <row r="16">
      <c r="A16" s="11" t="n"/>
      <c r="B16" s="11" t="n"/>
      <c r="C16" s="11" t="n"/>
      <c r="D16" s="11" t="n"/>
      <c r="E16" s="11" t="n"/>
      <c r="F16" s="11" t="n"/>
      <c r="G16" s="11" t="n"/>
      <c r="H16" s="11" t="n"/>
      <c r="I16" s="11" t="n"/>
      <c r="J16" s="11" t="n"/>
      <c r="K16" s="11" t="n"/>
      <c r="L16" s="11" t="n"/>
      <c r="M16" s="15" t="n"/>
      <c r="N16" s="11" t="n"/>
      <c r="Q16" s="13" t="inlineStr">
        <is>
          <t>En corrección</t>
        </is>
      </c>
      <c r="R16" s="8">
        <f>COUNTIF($G$5:$G$104,"En corrección")</f>
        <v/>
      </c>
    </row>
    <row r="17">
      <c r="A17" s="11" t="n"/>
      <c r="B17" s="11" t="n"/>
      <c r="C17" s="11" t="n"/>
      <c r="D17" s="11" t="n"/>
      <c r="E17" s="11" t="n"/>
      <c r="F17" s="11" t="n"/>
      <c r="G17" s="11" t="n"/>
      <c r="H17" s="11" t="n"/>
      <c r="I17" s="11" t="n"/>
      <c r="J17" s="11" t="n"/>
      <c r="K17" s="11" t="n"/>
      <c r="L17" s="11" t="n"/>
      <c r="M17" s="15" t="n"/>
      <c r="N17" s="11" t="n"/>
      <c r="Q17" s="13" t="inlineStr">
        <is>
          <t>Corregido</t>
        </is>
      </c>
      <c r="R17" s="8">
        <f>COUNTIF($G$5:$G$104,"Corregido")</f>
        <v/>
      </c>
    </row>
    <row r="18">
      <c r="A18" s="11" t="n"/>
      <c r="B18" s="11" t="n"/>
      <c r="C18" s="11" t="n"/>
      <c r="D18" s="11" t="n"/>
      <c r="E18" s="11" t="n"/>
      <c r="F18" s="11" t="n"/>
      <c r="G18" s="11" t="n"/>
      <c r="H18" s="11" t="n"/>
      <c r="I18" s="11" t="n"/>
      <c r="J18" s="11" t="n"/>
      <c r="K18" s="11" t="n"/>
      <c r="L18" s="11" t="n"/>
      <c r="M18" s="15" t="n"/>
      <c r="N18" s="11" t="n"/>
      <c r="Q18" s="13" t="inlineStr">
        <is>
          <t>Verificado</t>
        </is>
      </c>
      <c r="R18" s="8">
        <f>COUNTIF($G$5:$G$104,"Verificado")</f>
        <v/>
      </c>
    </row>
    <row r="19">
      <c r="A19" s="11" t="n"/>
      <c r="B19" s="11" t="n"/>
      <c r="C19" s="11" t="n"/>
      <c r="D19" s="11" t="n"/>
      <c r="E19" s="11" t="n"/>
      <c r="F19" s="11" t="n"/>
      <c r="G19" s="11" t="n"/>
      <c r="H19" s="11" t="n"/>
      <c r="I19" s="11" t="n"/>
      <c r="J19" s="11" t="n"/>
      <c r="K19" s="11" t="n"/>
      <c r="L19" s="11" t="n"/>
      <c r="M19" s="15" t="n"/>
      <c r="N19" s="11" t="n"/>
      <c r="Q19" s="13" t="inlineStr">
        <is>
          <t>Diferido</t>
        </is>
      </c>
      <c r="R19" s="8">
        <f>COUNTIF($G$5:$G$104,"Diferido")</f>
        <v/>
      </c>
    </row>
    <row r="20">
      <c r="A20" s="11" t="n"/>
      <c r="B20" s="11" t="n"/>
      <c r="C20" s="11" t="n"/>
      <c r="D20" s="11" t="n"/>
      <c r="E20" s="11" t="n"/>
      <c r="F20" s="11" t="n"/>
      <c r="G20" s="11" t="n"/>
      <c r="H20" s="11" t="n"/>
      <c r="I20" s="11" t="n"/>
      <c r="J20" s="11" t="n"/>
      <c r="K20" s="11" t="n"/>
      <c r="L20" s="11" t="n"/>
      <c r="M20" s="15" t="n"/>
      <c r="N20" s="11" t="n"/>
      <c r="Q20" s="13" t="inlineStr">
        <is>
          <t>Rechazado</t>
        </is>
      </c>
      <c r="R20" s="8">
        <f>COUNTIF($G$5:$G$104,"Rechazado")</f>
        <v/>
      </c>
    </row>
    <row r="21">
      <c r="A21" s="11" t="n"/>
      <c r="B21" s="11" t="n"/>
      <c r="C21" s="11" t="n"/>
      <c r="D21" s="11" t="n"/>
      <c r="E21" s="11" t="n"/>
      <c r="F21" s="11" t="n"/>
      <c r="G21" s="11" t="n"/>
      <c r="H21" s="11" t="n"/>
      <c r="I21" s="11" t="n"/>
      <c r="J21" s="11" t="n"/>
      <c r="K21" s="11" t="n"/>
      <c r="L21" s="11" t="n"/>
      <c r="M21" s="15" t="n"/>
      <c r="N21" s="11" t="n"/>
    </row>
    <row r="22">
      <c r="A22" s="11" t="n"/>
      <c r="B22" s="11" t="n"/>
      <c r="C22" s="11" t="n"/>
      <c r="D22" s="11" t="n"/>
      <c r="E22" s="11" t="n"/>
      <c r="F22" s="11" t="n"/>
      <c r="G22" s="11" t="n"/>
      <c r="H22" s="11" t="n"/>
      <c r="I22" s="11" t="n"/>
      <c r="J22" s="11" t="n"/>
      <c r="K22" s="11" t="n"/>
      <c r="L22" s="11" t="n"/>
      <c r="M22" s="15" t="n"/>
      <c r="N22" s="11" t="n"/>
      <c r="Q22" s="27" t="inlineStr">
        <is>
          <t>Defectos por versión en que se detectaron</t>
        </is>
      </c>
      <c r="R22" s="28" t="n"/>
    </row>
    <row r="23">
      <c r="A23" s="11" t="n"/>
      <c r="B23" s="11" t="n"/>
      <c r="C23" s="11" t="n"/>
      <c r="D23" s="11" t="n"/>
      <c r="E23" s="11" t="n"/>
      <c r="F23" s="11" t="n"/>
      <c r="G23" s="11" t="n"/>
      <c r="H23" s="11" t="n"/>
      <c r="I23" s="11" t="n"/>
      <c r="J23" s="11" t="n"/>
      <c r="K23" s="11" t="n"/>
      <c r="L23" s="11" t="n"/>
      <c r="M23" s="15" t="n"/>
      <c r="N23" s="11" t="n"/>
      <c r="Q23" s="13" t="inlineStr">
        <is>
          <t>V1</t>
        </is>
      </c>
      <c r="R23" s="8">
        <f>COUNTIF($H$5:$H$104,"V1*")</f>
        <v/>
      </c>
    </row>
    <row r="24">
      <c r="A24" s="11" t="n"/>
      <c r="B24" s="11" t="n"/>
      <c r="C24" s="11" t="n"/>
      <c r="D24" s="11" t="n"/>
      <c r="E24" s="11" t="n"/>
      <c r="F24" s="11" t="n"/>
      <c r="G24" s="11" t="n"/>
      <c r="H24" s="11" t="n"/>
      <c r="I24" s="11" t="n"/>
      <c r="J24" s="11" t="n"/>
      <c r="K24" s="11" t="n"/>
      <c r="L24" s="11" t="n"/>
      <c r="M24" s="15" t="n"/>
      <c r="N24" s="11" t="n"/>
      <c r="Q24" s="13" t="inlineStr">
        <is>
          <t>V2</t>
        </is>
      </c>
      <c r="R24" s="8">
        <f>COUNTIF($H$5:$H$104,"V2*")</f>
        <v/>
      </c>
    </row>
    <row r="25">
      <c r="A25" s="11" t="n"/>
      <c r="B25" s="11" t="n"/>
      <c r="C25" s="11" t="n"/>
      <c r="D25" s="11" t="n"/>
      <c r="E25" s="11" t="n"/>
      <c r="F25" s="11" t="n"/>
      <c r="G25" s="11" t="n"/>
      <c r="H25" s="11" t="n"/>
      <c r="I25" s="11" t="n"/>
      <c r="J25" s="11" t="n"/>
      <c r="K25" s="11" t="n"/>
      <c r="L25" s="11" t="n"/>
      <c r="M25" s="15" t="n"/>
      <c r="N25" s="11" t="n"/>
    </row>
    <row r="26">
      <c r="A26" s="11" t="n"/>
      <c r="B26" s="11" t="n"/>
      <c r="C26" s="11" t="n"/>
      <c r="D26" s="11" t="n"/>
      <c r="E26" s="11" t="n"/>
      <c r="F26" s="11" t="n"/>
      <c r="G26" s="11" t="n"/>
      <c r="H26" s="11" t="n"/>
      <c r="I26" s="11" t="n"/>
      <c r="J26" s="11" t="n"/>
      <c r="K26" s="11" t="n"/>
      <c r="L26" s="11" t="n"/>
      <c r="M26" s="15" t="n"/>
      <c r="N26" s="11" t="n"/>
      <c r="Q26" s="27" t="inlineStr">
        <is>
          <t>Defectos de la V2 por funcionalidad (sin rechazados)</t>
        </is>
      </c>
      <c r="R26" s="28" t="n"/>
    </row>
    <row r="27" ht="16.2" customHeight="1">
      <c r="A27" s="11" t="n"/>
      <c r="B27" s="11" t="n"/>
      <c r="C27" s="11" t="n"/>
      <c r="D27" s="11" t="n"/>
      <c r="E27" s="11" t="n"/>
      <c r="F27" s="11" t="n"/>
      <c r="G27" s="11" t="n"/>
      <c r="H27" s="11" t="n"/>
      <c r="I27" s="11" t="n"/>
      <c r="J27" s="11" t="n"/>
      <c r="K27" s="11" t="n"/>
      <c r="L27" s="11" t="n"/>
      <c r="M27" s="15" t="n"/>
      <c r="N27" s="11" t="n"/>
      <c r="Q27" s="13" t="inlineStr">
        <is>
          <t>Menú y elección del modo (HU-22)</t>
        </is>
      </c>
      <c r="R27" s="8">
        <f>COUNTIFS($D$5:$D$104,"HU-22",$H$5:$H$104,"V2*",$G$5:$G$104,"&lt;&gt;Rechazado")</f>
        <v/>
      </c>
    </row>
    <row r="28" ht="16.2" customHeight="1">
      <c r="A28" s="11" t="n"/>
      <c r="B28" s="11" t="n"/>
      <c r="C28" s="11" t="n"/>
      <c r="D28" s="11" t="n"/>
      <c r="E28" s="11" t="n"/>
      <c r="F28" s="11" t="n"/>
      <c r="G28" s="11" t="n"/>
      <c r="H28" s="11" t="n"/>
      <c r="I28" s="11" t="n"/>
      <c r="J28" s="11" t="n"/>
      <c r="K28" s="11" t="n"/>
      <c r="L28" s="11" t="n"/>
      <c r="M28" s="15" t="n"/>
      <c r="N28" s="11" t="n"/>
      <c r="Q28" s="13" t="inlineStr">
        <is>
          <t>Carrusel de fantasmas (HU-23)</t>
        </is>
      </c>
      <c r="R28" s="8">
        <f>COUNTIFS($D$5:$D$104,"HU-23",$H$5:$H$104,"V2*",$G$5:$G$104,"&lt;&gt;Rechazado")</f>
        <v/>
      </c>
    </row>
    <row r="29" ht="29.4" customHeight="1">
      <c r="A29" s="11" t="n"/>
      <c r="B29" s="11" t="n"/>
      <c r="C29" s="11" t="n"/>
      <c r="D29" s="11" t="n"/>
      <c r="E29" s="11" t="n"/>
      <c r="F29" s="11" t="n"/>
      <c r="G29" s="11" t="n"/>
      <c r="H29" s="11" t="n"/>
      <c r="I29" s="11" t="n"/>
      <c r="J29" s="11" t="n"/>
      <c r="K29" s="11" t="n"/>
      <c r="L29" s="11" t="n"/>
      <c r="M29" s="15" t="n"/>
      <c r="N29" s="11" t="n"/>
      <c r="Q29" s="13" t="inlineStr">
        <is>
          <t>Control del fantasma e IA de Pacman (HU-24)</t>
        </is>
      </c>
      <c r="R29" s="8">
        <f>COUNTIFS($D$5:$D$104,"HU-24",$H$5:$H$104,"V2*",$G$5:$G$104,"&lt;&gt;Rechazado")</f>
        <v/>
      </c>
    </row>
    <row r="30" ht="29.4" customHeight="1">
      <c r="A30" s="11" t="n"/>
      <c r="B30" s="11" t="n"/>
      <c r="C30" s="11" t="n"/>
      <c r="D30" s="11" t="n"/>
      <c r="E30" s="11" t="n"/>
      <c r="F30" s="11" t="n"/>
      <c r="G30" s="11" t="n"/>
      <c r="H30" s="11" t="n"/>
      <c r="I30" s="11" t="n"/>
      <c r="J30" s="11" t="n"/>
      <c r="K30" s="11" t="n"/>
      <c r="L30" s="11" t="n"/>
      <c r="M30" s="15" t="n"/>
      <c r="N30" s="11" t="n"/>
      <c r="Q30" s="13" t="inlineStr">
        <is>
          <t>Reglas del modo GhostMan: derrota, victoria, puntaje (HU-25 a HU-27)</t>
        </is>
      </c>
      <c r="R30" s="8">
        <f>COUNTIFS($D$5:$D$104,"HU-25",$H$5:$H$104,"V2*",$G$5:$G$104,"&lt;&gt;Rechazado")+COUNTIFS($D$5:$D$104,"HU-26",$H$5:$H$104,"V2*",$G$5:$G$104,"&lt;&gt;Rechazado")+COUNTIFS($D$5:$D$104,"HU-27",$H$5:$H$104,"V2*",$G$5:$G$104,"&lt;&gt;Rechazado")</f>
        <v/>
      </c>
    </row>
    <row r="31" ht="16.2" customHeight="1">
      <c r="A31" s="11" t="n"/>
      <c r="B31" s="11" t="n"/>
      <c r="C31" s="11" t="n"/>
      <c r="D31" s="11" t="n"/>
      <c r="E31" s="11" t="n"/>
      <c r="F31" s="11" t="n"/>
      <c r="G31" s="11" t="n"/>
      <c r="H31" s="11" t="n"/>
      <c r="I31" s="11" t="n"/>
      <c r="J31" s="11" t="n"/>
      <c r="K31" s="11" t="n"/>
      <c r="L31" s="11" t="n"/>
      <c r="M31" s="15" t="n"/>
      <c r="N31" s="11" t="n"/>
      <c r="Q31" s="13" t="inlineStr">
        <is>
          <t>Espectro (HU-28)</t>
        </is>
      </c>
      <c r="R31" s="8">
        <f>COUNTIFS($D$5:$D$104,"HU-28",$H$5:$H$104,"V2*",$G$5:$G$104,"&lt;&gt;Rechazado")</f>
        <v/>
      </c>
    </row>
    <row r="32" ht="16.2" customHeight="1">
      <c r="A32" s="11" t="n"/>
      <c r="B32" s="11" t="n"/>
      <c r="C32" s="11" t="n"/>
      <c r="D32" s="11" t="n"/>
      <c r="E32" s="11" t="n"/>
      <c r="F32" s="11" t="n"/>
      <c r="G32" s="11" t="n"/>
      <c r="H32" s="11" t="n"/>
      <c r="I32" s="11" t="n"/>
      <c r="J32" s="11" t="n"/>
      <c r="K32" s="11" t="n"/>
      <c r="L32" s="11" t="n"/>
      <c r="M32" s="15" t="n"/>
      <c r="N32" s="11" t="n"/>
      <c r="Q32" s="13" t="inlineStr">
        <is>
          <t>Saltarín (HU-29)</t>
        </is>
      </c>
      <c r="R32" s="8">
        <f>COUNTIFS($D$5:$D$104,"HU-29",$H$5:$H$104,"V2*",$G$5:$G$104,"&lt;&gt;Rechazado")</f>
        <v/>
      </c>
    </row>
    <row r="33" ht="16.2" customHeight="1">
      <c r="A33" s="11" t="n"/>
      <c r="B33" s="11" t="n"/>
      <c r="C33" s="11" t="n"/>
      <c r="D33" s="11" t="n"/>
      <c r="E33" s="11" t="n"/>
      <c r="F33" s="11" t="n"/>
      <c r="G33" s="11" t="n"/>
      <c r="H33" s="11" t="n"/>
      <c r="I33" s="11" t="n"/>
      <c r="J33" s="11" t="n"/>
      <c r="K33" s="11" t="n"/>
      <c r="L33" s="11" t="n"/>
      <c r="M33" s="15" t="n"/>
      <c r="N33" s="11" t="n"/>
      <c r="Q33" s="13" t="inlineStr">
        <is>
          <t>Naval y frutas falsas (HU-30)</t>
        </is>
      </c>
      <c r="R33" s="8">
        <f>COUNTIFS($D$5:$D$104,"HU-30",$H$5:$H$104,"V2*",$G$5:$G$104,"&lt;&gt;Rechazado")</f>
        <v/>
      </c>
    </row>
    <row r="34" ht="16.2" customHeight="1">
      <c r="A34" s="11" t="n"/>
      <c r="B34" s="11" t="n"/>
      <c r="C34" s="11" t="n"/>
      <c r="D34" s="11" t="n"/>
      <c r="E34" s="11" t="n"/>
      <c r="F34" s="11" t="n"/>
      <c r="G34" s="11" t="n"/>
      <c r="H34" s="11" t="n"/>
      <c r="I34" s="11" t="n"/>
      <c r="J34" s="11" t="n"/>
      <c r="K34" s="11" t="n"/>
      <c r="L34" s="11" t="n"/>
      <c r="M34" s="15" t="n"/>
      <c r="N34" s="11" t="n"/>
      <c r="Q34" s="13" t="inlineStr">
        <is>
          <t>Acelerado (HU-31)</t>
        </is>
      </c>
      <c r="R34" s="8">
        <f>COUNTIFS($D$5:$D$104,"HU-31",$H$5:$H$104,"V2*",$G$5:$G$104,"&lt;&gt;Rechazado")</f>
        <v/>
      </c>
    </row>
    <row r="35" ht="16.2" customHeight="1">
      <c r="A35" s="11" t="n"/>
      <c r="B35" s="11" t="n"/>
      <c r="C35" s="11" t="n"/>
      <c r="D35" s="11" t="n"/>
      <c r="E35" s="11" t="n"/>
      <c r="F35" s="11" t="n"/>
      <c r="G35" s="11" t="n"/>
      <c r="H35" s="11" t="n"/>
      <c r="I35" s="11" t="n"/>
      <c r="J35" s="11" t="n"/>
      <c r="K35" s="11" t="n"/>
      <c r="L35" s="11" t="n"/>
      <c r="M35" s="15" t="n"/>
      <c r="N35" s="11" t="n"/>
      <c r="Q35" s="13" t="inlineStr">
        <is>
          <t>Indicador de poder (HU-32)</t>
        </is>
      </c>
      <c r="R35" s="8">
        <f>COUNTIFS($D$5:$D$104,"HU-32",$H$5:$H$104,"V2*",$G$5:$G$104,"&lt;&gt;Rechazado")</f>
        <v/>
      </c>
    </row>
    <row r="36" ht="29.4" customHeight="1">
      <c r="A36" s="11" t="n"/>
      <c r="B36" s="11" t="n"/>
      <c r="C36" s="11" t="n"/>
      <c r="D36" s="11" t="n"/>
      <c r="E36" s="11" t="n"/>
      <c r="F36" s="11" t="n"/>
      <c r="G36" s="11" t="n"/>
      <c r="H36" s="11" t="n"/>
      <c r="I36" s="11" t="n"/>
      <c r="J36" s="11" t="n"/>
      <c r="K36" s="11" t="n"/>
      <c r="L36" s="11" t="n"/>
      <c r="M36" s="15" t="n"/>
      <c r="N36" s="11" t="n"/>
      <c r="Q36" s="13" t="inlineStr">
        <is>
          <t>Dificultad del modo GhostMan: paredes y esferas grandes (HU-33, HU-34)</t>
        </is>
      </c>
      <c r="R36" s="8">
        <f>COUNTIFS($D$5:$D$104,"HU-33",$H$5:$H$104,"V2*",$G$5:$G$104,"&lt;&gt;Rechazado")+COUNTIFS($D$5:$D$104,"HU-34",$H$5:$H$104,"V2*",$G$5:$G$104,"&lt;&gt;Rechazado")</f>
        <v/>
      </c>
    </row>
    <row r="37" ht="29.4" customHeight="1">
      <c r="A37" s="11" t="n"/>
      <c r="B37" s="11" t="n"/>
      <c r="C37" s="11" t="n"/>
      <c r="D37" s="11" t="n"/>
      <c r="E37" s="11" t="n"/>
      <c r="F37" s="11" t="n"/>
      <c r="G37" s="11" t="n"/>
      <c r="H37" s="11" t="n"/>
      <c r="I37" s="11" t="n"/>
      <c r="J37" s="11" t="n"/>
      <c r="K37" s="11" t="n"/>
      <c r="L37" s="11" t="n"/>
      <c r="M37" s="15" t="n"/>
      <c r="N37" s="11" t="n"/>
      <c r="Q37" s="13" t="inlineStr">
        <is>
          <t>Fantasmas especiales en el modo Pacman (HU-43)</t>
        </is>
      </c>
      <c r="R37" s="8">
        <f>COUNTIFS($D$5:$D$104,"HU-43",$H$5:$H$104,"V2*",$G$5:$G$104,"&lt;&gt;Rechazado")</f>
        <v/>
      </c>
    </row>
    <row r="38">
      <c r="A38" s="11" t="n"/>
      <c r="B38" s="11" t="n"/>
      <c r="C38" s="11" t="n"/>
      <c r="D38" s="11" t="n"/>
      <c r="E38" s="11" t="n"/>
      <c r="F38" s="11" t="n"/>
      <c r="G38" s="11" t="n"/>
      <c r="H38" s="11" t="n"/>
      <c r="I38" s="11" t="n"/>
      <c r="J38" s="11" t="n"/>
      <c r="K38" s="11" t="n"/>
      <c r="L38" s="11" t="n"/>
      <c r="M38" s="15" t="n"/>
      <c r="N38" s="11" t="n"/>
      <c r="Q38" s="13" t="inlineStr">
        <is>
          <t>Total V2</t>
        </is>
      </c>
      <c r="R38" s="19">
        <f>SUM(R27:R37)</f>
        <v/>
      </c>
    </row>
    <row r="39">
      <c r="A39" s="11" t="n"/>
      <c r="B39" s="11" t="n"/>
      <c r="C39" s="11" t="n"/>
      <c r="D39" s="11" t="n"/>
      <c r="E39" s="11" t="n"/>
      <c r="F39" s="11" t="n"/>
      <c r="G39" s="11" t="n"/>
      <c r="H39" s="11" t="n"/>
      <c r="I39" s="11" t="n"/>
      <c r="J39" s="11" t="n"/>
      <c r="K39" s="11" t="n"/>
      <c r="L39" s="11" t="n"/>
      <c r="M39" s="15" t="n"/>
      <c r="N39" s="11" t="n"/>
    </row>
    <row r="40">
      <c r="A40" s="11" t="n"/>
      <c r="B40" s="11" t="n"/>
      <c r="C40" s="11" t="n"/>
      <c r="D40" s="11" t="n"/>
      <c r="E40" s="11" t="n"/>
      <c r="F40" s="11" t="n"/>
      <c r="G40" s="11" t="n"/>
      <c r="H40" s="11" t="n"/>
      <c r="I40" s="11" t="n"/>
      <c r="J40" s="11" t="n"/>
      <c r="K40" s="11" t="n"/>
      <c r="L40" s="11" t="n"/>
      <c r="M40" s="15" t="n"/>
      <c r="N40" s="11" t="n"/>
      <c r="Q40" s="27" t="inlineStr">
        <is>
          <t>Defectos por épica (según el CP)</t>
        </is>
      </c>
      <c r="R40" s="28" t="n"/>
    </row>
    <row r="41">
      <c r="A41" s="11" t="n"/>
      <c r="B41" s="11" t="n"/>
      <c r="C41" s="11" t="n"/>
      <c r="D41" s="11" t="n"/>
      <c r="E41" s="11" t="n"/>
      <c r="F41" s="11" t="n"/>
      <c r="G41" s="11" t="n"/>
      <c r="H41" s="11" t="n"/>
      <c r="I41" s="11" t="n"/>
      <c r="J41" s="11" t="n"/>
      <c r="K41" s="11" t="n"/>
      <c r="L41" s="11" t="n"/>
      <c r="M41" s="15" t="n"/>
      <c r="N41" s="11" t="n"/>
      <c r="Q41" s="13" t="inlineStr">
        <is>
          <t>E1 — Núcleo de juego y movimiento</t>
        </is>
      </c>
      <c r="R41" s="8">
        <f>COUNTIF($D$5:$D$104,"HU-01")+COUNTIF($D$5:$D$104,"HU-02")+COUNTIF($D$5:$D$104,"HU-03")+COUNTIF($D$5:$D$104,"HU-04")</f>
        <v/>
      </c>
    </row>
    <row r="42">
      <c r="A42" s="11" t="n"/>
      <c r="B42" s="11" t="n"/>
      <c r="C42" s="11" t="n"/>
      <c r="D42" s="11" t="n"/>
      <c r="E42" s="11" t="n"/>
      <c r="F42" s="11" t="n"/>
      <c r="G42" s="11" t="n"/>
      <c r="H42" s="11" t="n"/>
      <c r="I42" s="11" t="n"/>
      <c r="J42" s="11" t="n"/>
      <c r="K42" s="11" t="n"/>
      <c r="L42" s="11" t="n"/>
      <c r="M42" s="15" t="n"/>
      <c r="N42" s="11" t="n"/>
      <c r="Q42" s="13" t="inlineStr">
        <is>
          <t>E2 — PowerUp e interacción con fantasmas</t>
        </is>
      </c>
      <c r="R42" s="8">
        <f>COUNTIF($D$5:$D$104,"HU-05")+COUNTIF($D$5:$D$104,"HU-06")+COUNTIF($D$5:$D$104,"HU-07")+COUNTIF($D$5:$D$104,"HU-08")</f>
        <v/>
      </c>
    </row>
    <row r="43">
      <c r="A43" s="11" t="n"/>
      <c r="B43" s="11" t="n"/>
      <c r="C43" s="11" t="n"/>
      <c r="D43" s="11" t="n"/>
      <c r="E43" s="11" t="n"/>
      <c r="F43" s="11" t="n"/>
      <c r="G43" s="11" t="n"/>
      <c r="H43" s="11" t="n"/>
      <c r="I43" s="11" t="n"/>
      <c r="J43" s="11" t="n"/>
      <c r="K43" s="11" t="n"/>
      <c r="L43" s="11" t="n"/>
      <c r="M43" s="15" t="n"/>
      <c r="N43" s="11" t="n"/>
      <c r="Q43" s="13" t="inlineStr">
        <is>
          <t>E3 — Vidas, puntaje y fin de partida</t>
        </is>
      </c>
      <c r="R43" s="8">
        <f>COUNTIF($D$5:$D$104,"HU-09")+COUNTIF($D$5:$D$104,"HU-10")+COUNTIF($D$5:$D$104,"HU-11")+COUNTIF($D$5:$D$104,"HU-12")+COUNTIF($D$5:$D$104,"HU-13")+COUNTIF($D$5:$D$104,"HU-14")</f>
        <v/>
      </c>
    </row>
    <row r="44">
      <c r="A44" s="11" t="n"/>
      <c r="B44" s="11" t="n"/>
      <c r="C44" s="11" t="n"/>
      <c r="D44" s="11" t="n"/>
      <c r="E44" s="11" t="n"/>
      <c r="F44" s="11" t="n"/>
      <c r="G44" s="11" t="n"/>
      <c r="H44" s="11" t="n"/>
      <c r="I44" s="11" t="n"/>
      <c r="J44" s="11" t="n"/>
      <c r="K44" s="11" t="n"/>
      <c r="L44" s="11" t="n"/>
      <c r="M44" s="15" t="n"/>
      <c r="N44" s="11" t="n"/>
      <c r="Q44" s="13" t="inlineStr">
        <is>
          <t>E4 — Niveles y progresión de dificultad</t>
        </is>
      </c>
      <c r="R44" s="8">
        <f>COUNTIF($D$5:$D$104,"HU-15")+COUNTIF($D$5:$D$104,"HU-16")+COUNTIF($D$5:$D$104,"HU-17")+COUNTIF($D$5:$D$104,"HU-18")+COUNTIF($D$5:$D$104,"HU-19")+COUNTIF($D$5:$D$104,"HU-43")</f>
        <v/>
      </c>
    </row>
    <row r="45">
      <c r="A45" s="11" t="n"/>
      <c r="B45" s="11" t="n"/>
      <c r="C45" s="11" t="n"/>
      <c r="D45" s="11" t="n"/>
      <c r="E45" s="11" t="n"/>
      <c r="F45" s="11" t="n"/>
      <c r="G45" s="11" t="n"/>
      <c r="H45" s="11" t="n"/>
      <c r="I45" s="11" t="n"/>
      <c r="J45" s="11" t="n"/>
      <c r="K45" s="11" t="n"/>
      <c r="L45" s="11" t="n"/>
      <c r="M45" s="15" t="n"/>
      <c r="N45" s="11" t="n"/>
      <c r="Q45" s="13" t="inlineStr">
        <is>
          <t>E5 — Control de la partida</t>
        </is>
      </c>
      <c r="R45" s="8">
        <f>COUNTIF($D$5:$D$104,"HU-20")+COUNTIF($D$5:$D$104,"HU-21")</f>
        <v/>
      </c>
    </row>
    <row r="46">
      <c r="A46" s="11" t="n"/>
      <c r="B46" s="11" t="n"/>
      <c r="C46" s="11" t="n"/>
      <c r="D46" s="11" t="n"/>
      <c r="E46" s="11" t="n"/>
      <c r="F46" s="11" t="n"/>
      <c r="G46" s="11" t="n"/>
      <c r="H46" s="11" t="n"/>
      <c r="I46" s="11" t="n"/>
      <c r="J46" s="11" t="n"/>
      <c r="K46" s="11" t="n"/>
      <c r="L46" s="11" t="n"/>
      <c r="M46" s="15" t="n"/>
      <c r="N46" s="11" t="n"/>
      <c r="Q46" s="13" t="inlineStr">
        <is>
          <t>E6 — Modo GhostMan</t>
        </is>
      </c>
      <c r="R46" s="8">
        <f>COUNTIF($D$5:$D$104,"HU-19")+COUNTIF($D$5:$D$104,"HU-22")+COUNTIF($D$5:$D$104,"HU-23")+COUNTIF($D$5:$D$104,"HU-24")+COUNTIF($D$5:$D$104,"HU-25")+COUNTIF($D$5:$D$104,"HU-26")+COUNTIF($D$5:$D$104,"HU-27")</f>
        <v/>
      </c>
    </row>
    <row r="47">
      <c r="A47" s="11" t="n"/>
      <c r="B47" s="11" t="n"/>
      <c r="C47" s="11" t="n"/>
      <c r="D47" s="11" t="n"/>
      <c r="E47" s="11" t="n"/>
      <c r="F47" s="11" t="n"/>
      <c r="G47" s="11" t="n"/>
      <c r="H47" s="11" t="n"/>
      <c r="I47" s="11" t="n"/>
      <c r="J47" s="11" t="n"/>
      <c r="K47" s="11" t="n"/>
      <c r="L47" s="11" t="n"/>
      <c r="M47" s="15" t="n"/>
      <c r="N47" s="11" t="n"/>
      <c r="Q47" s="13" t="inlineStr">
        <is>
          <t>E7 — Poderes de los fantasmas</t>
        </is>
      </c>
      <c r="R47" s="8">
        <f>COUNTIF($D$5:$D$104,"HU-28")+COUNTIF($D$5:$D$104,"HU-29")+COUNTIF($D$5:$D$104,"HU-30")+COUNTIF($D$5:$D$104,"HU-31")+COUNTIF($D$5:$D$104,"HU-32")</f>
        <v/>
      </c>
    </row>
    <row r="48">
      <c r="A48" s="11" t="n"/>
      <c r="B48" s="11" t="n"/>
      <c r="C48" s="11" t="n"/>
      <c r="D48" s="11" t="n"/>
      <c r="E48" s="11" t="n"/>
      <c r="F48" s="11" t="n"/>
      <c r="G48" s="11" t="n"/>
      <c r="H48" s="11" t="n"/>
      <c r="I48" s="11" t="n"/>
      <c r="J48" s="11" t="n"/>
      <c r="K48" s="11" t="n"/>
      <c r="L48" s="11" t="n"/>
      <c r="M48" s="15" t="n"/>
      <c r="N48" s="11" t="n"/>
      <c r="Q48" s="13" t="inlineStr">
        <is>
          <t>E8 — Dificultad del modo GhostMan</t>
        </is>
      </c>
      <c r="R48" s="8">
        <f>COUNTIF($D$5:$D$104,"HU-33")+COUNTIF($D$5:$D$104,"HU-34")</f>
        <v/>
      </c>
    </row>
    <row r="49">
      <c r="A49" s="11" t="n"/>
      <c r="B49" s="11" t="n"/>
      <c r="C49" s="11" t="n"/>
      <c r="D49" s="11" t="n"/>
      <c r="E49" s="11" t="n"/>
      <c r="F49" s="11" t="n"/>
      <c r="G49" s="11" t="n"/>
      <c r="H49" s="11" t="n"/>
      <c r="I49" s="11" t="n"/>
      <c r="J49" s="11" t="n"/>
      <c r="K49" s="11" t="n"/>
      <c r="L49" s="11" t="n"/>
      <c r="M49" s="15" t="n"/>
      <c r="N49" s="11" t="n"/>
    </row>
    <row r="50">
      <c r="A50" s="11" t="n"/>
      <c r="B50" s="11" t="n"/>
      <c r="C50" s="11" t="n"/>
      <c r="D50" s="11" t="n"/>
      <c r="E50" s="11" t="n"/>
      <c r="F50" s="11" t="n"/>
      <c r="G50" s="11" t="n"/>
      <c r="H50" s="11" t="n"/>
      <c r="I50" s="11" t="n"/>
      <c r="J50" s="11" t="n"/>
      <c r="K50" s="11" t="n"/>
      <c r="L50" s="11" t="n"/>
      <c r="M50" s="15" t="n"/>
      <c r="N50" s="11" t="n"/>
    </row>
    <row r="51">
      <c r="A51" s="11" t="n"/>
      <c r="B51" s="11" t="n"/>
      <c r="C51" s="11" t="n"/>
      <c r="D51" s="11" t="n"/>
      <c r="E51" s="11" t="n"/>
      <c r="F51" s="11" t="n"/>
      <c r="G51" s="11" t="n"/>
      <c r="H51" s="11" t="n"/>
      <c r="I51" s="11" t="n"/>
      <c r="J51" s="11" t="n"/>
      <c r="K51" s="11" t="n"/>
      <c r="L51" s="11" t="n"/>
      <c r="M51" s="15" t="n"/>
      <c r="N51" s="11" t="n"/>
    </row>
    <row r="52">
      <c r="A52" s="11" t="n"/>
      <c r="B52" s="11" t="n"/>
      <c r="C52" s="11" t="n"/>
      <c r="D52" s="11" t="n"/>
      <c r="E52" s="11" t="n"/>
      <c r="F52" s="11" t="n"/>
      <c r="G52" s="11" t="n"/>
      <c r="H52" s="11" t="n"/>
      <c r="I52" s="11" t="n"/>
      <c r="J52" s="11" t="n"/>
      <c r="K52" s="11" t="n"/>
      <c r="L52" s="11" t="n"/>
      <c r="M52" s="15" t="n"/>
      <c r="N52" s="11" t="n"/>
    </row>
    <row r="53">
      <c r="A53" s="11" t="n"/>
      <c r="B53" s="11" t="n"/>
      <c r="C53" s="11" t="n"/>
      <c r="D53" s="11" t="n"/>
      <c r="E53" s="11" t="n"/>
      <c r="F53" s="11" t="n"/>
      <c r="G53" s="11" t="n"/>
      <c r="H53" s="11" t="n"/>
      <c r="I53" s="11" t="n"/>
      <c r="J53" s="11" t="n"/>
      <c r="K53" s="11" t="n"/>
      <c r="L53" s="11" t="n"/>
      <c r="M53" s="15" t="n"/>
      <c r="N53" s="11" t="n"/>
    </row>
    <row r="54">
      <c r="A54" s="11" t="n"/>
      <c r="B54" s="11" t="n"/>
      <c r="C54" s="11" t="n"/>
      <c r="D54" s="11" t="n"/>
      <c r="E54" s="11" t="n"/>
      <c r="F54" s="11" t="n"/>
      <c r="G54" s="11" t="n"/>
      <c r="H54" s="11" t="n"/>
      <c r="I54" s="11" t="n"/>
      <c r="J54" s="11" t="n"/>
      <c r="K54" s="11" t="n"/>
      <c r="L54" s="11" t="n"/>
      <c r="M54" s="15" t="n"/>
      <c r="N54" s="11" t="n"/>
    </row>
    <row r="55">
      <c r="A55" s="11" t="n"/>
      <c r="B55" s="11" t="n"/>
      <c r="C55" s="11" t="n"/>
      <c r="D55" s="11" t="n"/>
      <c r="E55" s="11" t="n"/>
      <c r="F55" s="11" t="n"/>
      <c r="G55" s="11" t="n"/>
      <c r="H55" s="11" t="n"/>
      <c r="I55" s="11" t="n"/>
      <c r="J55" s="11" t="n"/>
      <c r="K55" s="11" t="n"/>
      <c r="L55" s="11" t="n"/>
      <c r="M55" s="15" t="n"/>
      <c r="N55" s="11" t="n"/>
    </row>
    <row r="56">
      <c r="A56" s="11" t="n"/>
      <c r="B56" s="11" t="n"/>
      <c r="C56" s="11" t="n"/>
      <c r="D56" s="11" t="n"/>
      <c r="E56" s="11" t="n"/>
      <c r="F56" s="11" t="n"/>
      <c r="G56" s="11" t="n"/>
      <c r="H56" s="11" t="n"/>
      <c r="I56" s="11" t="n"/>
      <c r="J56" s="11" t="n"/>
      <c r="K56" s="11" t="n"/>
      <c r="L56" s="11" t="n"/>
      <c r="M56" s="15" t="n"/>
      <c r="N56" s="11" t="n"/>
    </row>
    <row r="57">
      <c r="A57" s="11" t="n"/>
      <c r="B57" s="11" t="n"/>
      <c r="C57" s="11" t="n"/>
      <c r="D57" s="11" t="n"/>
      <c r="E57" s="11" t="n"/>
      <c r="F57" s="11" t="n"/>
      <c r="G57" s="11" t="n"/>
      <c r="H57" s="11" t="n"/>
      <c r="I57" s="11" t="n"/>
      <c r="J57" s="11" t="n"/>
      <c r="K57" s="11" t="n"/>
      <c r="L57" s="11" t="n"/>
      <c r="M57" s="15" t="n"/>
      <c r="N57" s="11" t="n"/>
    </row>
    <row r="58">
      <c r="A58" s="11" t="n"/>
      <c r="B58" s="11" t="n"/>
      <c r="C58" s="11" t="n"/>
      <c r="D58" s="11" t="n"/>
      <c r="E58" s="11" t="n"/>
      <c r="F58" s="11" t="n"/>
      <c r="G58" s="11" t="n"/>
      <c r="H58" s="11" t="n"/>
      <c r="I58" s="11" t="n"/>
      <c r="J58" s="11" t="n"/>
      <c r="K58" s="11" t="n"/>
      <c r="L58" s="11" t="n"/>
      <c r="M58" s="15" t="n"/>
      <c r="N58" s="11" t="n"/>
    </row>
    <row r="59">
      <c r="A59" s="11" t="n"/>
      <c r="B59" s="11" t="n"/>
      <c r="C59" s="11" t="n"/>
      <c r="D59" s="11" t="n"/>
      <c r="E59" s="11" t="n"/>
      <c r="F59" s="11" t="n"/>
      <c r="G59" s="11" t="n"/>
      <c r="H59" s="11" t="n"/>
      <c r="I59" s="11" t="n"/>
      <c r="J59" s="11" t="n"/>
      <c r="K59" s="11" t="n"/>
      <c r="L59" s="11" t="n"/>
      <c r="M59" s="15" t="n"/>
      <c r="N59" s="11" t="n"/>
    </row>
    <row r="60">
      <c r="A60" s="11" t="n"/>
      <c r="B60" s="11" t="n"/>
      <c r="C60" s="11" t="n"/>
      <c r="D60" s="11" t="n"/>
      <c r="E60" s="11" t="n"/>
      <c r="F60" s="11" t="n"/>
      <c r="G60" s="11" t="n"/>
      <c r="H60" s="11" t="n"/>
      <c r="I60" s="11" t="n"/>
      <c r="J60" s="11" t="n"/>
      <c r="K60" s="11" t="n"/>
      <c r="L60" s="11" t="n"/>
      <c r="M60" s="15" t="n"/>
      <c r="N60" s="11" t="n"/>
    </row>
    <row r="61">
      <c r="A61" s="11" t="n"/>
      <c r="B61" s="11" t="n"/>
      <c r="C61" s="11" t="n"/>
      <c r="D61" s="11" t="n"/>
      <c r="E61" s="11" t="n"/>
      <c r="F61" s="11" t="n"/>
      <c r="G61" s="11" t="n"/>
      <c r="H61" s="11" t="n"/>
      <c r="I61" s="11" t="n"/>
      <c r="J61" s="11" t="n"/>
      <c r="K61" s="11" t="n"/>
      <c r="L61" s="11" t="n"/>
      <c r="M61" s="15" t="n"/>
      <c r="N61" s="11" t="n"/>
    </row>
    <row r="62">
      <c r="A62" s="11" t="n"/>
      <c r="B62" s="11" t="n"/>
      <c r="C62" s="11" t="n"/>
      <c r="D62" s="11" t="n"/>
      <c r="E62" s="11" t="n"/>
      <c r="F62" s="11" t="n"/>
      <c r="G62" s="11" t="n"/>
      <c r="H62" s="11" t="n"/>
      <c r="I62" s="11" t="n"/>
      <c r="J62" s="11" t="n"/>
      <c r="K62" s="11" t="n"/>
      <c r="L62" s="11" t="n"/>
      <c r="M62" s="15" t="n"/>
      <c r="N62" s="11" t="n"/>
    </row>
    <row r="63">
      <c r="A63" s="11" t="n"/>
      <c r="B63" s="11" t="n"/>
      <c r="C63" s="11" t="n"/>
      <c r="D63" s="11" t="n"/>
      <c r="E63" s="11" t="n"/>
      <c r="F63" s="11" t="n"/>
      <c r="G63" s="11" t="n"/>
      <c r="H63" s="11" t="n"/>
      <c r="I63" s="11" t="n"/>
      <c r="J63" s="11" t="n"/>
      <c r="K63" s="11" t="n"/>
      <c r="L63" s="11" t="n"/>
      <c r="M63" s="15" t="n"/>
      <c r="N63" s="11" t="n"/>
    </row>
    <row r="64">
      <c r="A64" s="11" t="n"/>
      <c r="B64" s="11" t="n"/>
      <c r="C64" s="11" t="n"/>
      <c r="D64" s="11" t="n"/>
      <c r="E64" s="11" t="n"/>
      <c r="F64" s="11" t="n"/>
      <c r="G64" s="11" t="n"/>
      <c r="H64" s="11" t="n"/>
      <c r="I64" s="11" t="n"/>
      <c r="J64" s="11" t="n"/>
      <c r="K64" s="11" t="n"/>
      <c r="L64" s="11" t="n"/>
      <c r="M64" s="15" t="n"/>
      <c r="N64" s="11" t="n"/>
    </row>
    <row r="65">
      <c r="A65" s="11" t="n"/>
      <c r="B65" s="11" t="n"/>
      <c r="C65" s="11" t="n"/>
      <c r="D65" s="11" t="n"/>
      <c r="E65" s="11" t="n"/>
      <c r="F65" s="11" t="n"/>
      <c r="G65" s="11" t="n"/>
      <c r="H65" s="11" t="n"/>
      <c r="I65" s="11" t="n"/>
      <c r="J65" s="11" t="n"/>
      <c r="K65" s="11" t="n"/>
      <c r="L65" s="11" t="n"/>
      <c r="M65" s="15" t="n"/>
      <c r="N65" s="11" t="n"/>
    </row>
    <row r="66">
      <c r="A66" s="11" t="n"/>
      <c r="B66" s="11" t="n"/>
      <c r="C66" s="11" t="n"/>
      <c r="D66" s="11" t="n"/>
      <c r="E66" s="11" t="n"/>
      <c r="F66" s="11" t="n"/>
      <c r="G66" s="11" t="n"/>
      <c r="H66" s="11" t="n"/>
      <c r="I66" s="11" t="n"/>
      <c r="J66" s="11" t="n"/>
      <c r="K66" s="11" t="n"/>
      <c r="L66" s="11" t="n"/>
      <c r="M66" s="15" t="n"/>
      <c r="N66" s="11" t="n"/>
    </row>
    <row r="67">
      <c r="A67" s="11" t="n"/>
      <c r="B67" s="11" t="n"/>
      <c r="C67" s="11" t="n"/>
      <c r="D67" s="11" t="n"/>
      <c r="E67" s="11" t="n"/>
      <c r="F67" s="11" t="n"/>
      <c r="G67" s="11" t="n"/>
      <c r="H67" s="11" t="n"/>
      <c r="I67" s="11" t="n"/>
      <c r="J67" s="11" t="n"/>
      <c r="K67" s="11" t="n"/>
      <c r="L67" s="11" t="n"/>
      <c r="M67" s="15" t="n"/>
      <c r="N67" s="11" t="n"/>
    </row>
    <row r="68">
      <c r="A68" s="11" t="n"/>
      <c r="B68" s="11" t="n"/>
      <c r="C68" s="11" t="n"/>
      <c r="D68" s="11" t="n"/>
      <c r="E68" s="11" t="n"/>
      <c r="F68" s="11" t="n"/>
      <c r="G68" s="11" t="n"/>
      <c r="H68" s="11" t="n"/>
      <c r="I68" s="11" t="n"/>
      <c r="J68" s="11" t="n"/>
      <c r="K68" s="11" t="n"/>
      <c r="L68" s="11" t="n"/>
      <c r="M68" s="15" t="n"/>
      <c r="N68" s="11" t="n"/>
    </row>
    <row r="69">
      <c r="A69" s="11" t="n"/>
      <c r="B69" s="11" t="n"/>
      <c r="C69" s="11" t="n"/>
      <c r="D69" s="11" t="n"/>
      <c r="E69" s="11" t="n"/>
      <c r="F69" s="11" t="n"/>
      <c r="G69" s="11" t="n"/>
      <c r="H69" s="11" t="n"/>
      <c r="I69" s="11" t="n"/>
      <c r="J69" s="11" t="n"/>
      <c r="K69" s="11" t="n"/>
      <c r="L69" s="11" t="n"/>
      <c r="M69" s="15" t="n"/>
      <c r="N69" s="11" t="n"/>
    </row>
    <row r="70">
      <c r="A70" s="11" t="n"/>
      <c r="B70" s="11" t="n"/>
      <c r="C70" s="11" t="n"/>
      <c r="D70" s="11" t="n"/>
      <c r="E70" s="11" t="n"/>
      <c r="F70" s="11" t="n"/>
      <c r="G70" s="11" t="n"/>
      <c r="H70" s="11" t="n"/>
      <c r="I70" s="11" t="n"/>
      <c r="J70" s="11" t="n"/>
      <c r="K70" s="11" t="n"/>
      <c r="L70" s="11" t="n"/>
      <c r="M70" s="15" t="n"/>
      <c r="N70" s="11" t="n"/>
    </row>
    <row r="71">
      <c r="A71" s="11" t="n"/>
      <c r="B71" s="11" t="n"/>
      <c r="C71" s="11" t="n"/>
      <c r="D71" s="11" t="n"/>
      <c r="E71" s="11" t="n"/>
      <c r="F71" s="11" t="n"/>
      <c r="G71" s="11" t="n"/>
      <c r="H71" s="11" t="n"/>
      <c r="I71" s="11" t="n"/>
      <c r="J71" s="11" t="n"/>
      <c r="K71" s="11" t="n"/>
      <c r="L71" s="11" t="n"/>
      <c r="M71" s="15" t="n"/>
      <c r="N71" s="11" t="n"/>
    </row>
    <row r="72">
      <c r="A72" s="11" t="n"/>
      <c r="B72" s="11" t="n"/>
      <c r="C72" s="11" t="n"/>
      <c r="D72" s="11" t="n"/>
      <c r="E72" s="11" t="n"/>
      <c r="F72" s="11" t="n"/>
      <c r="G72" s="11" t="n"/>
      <c r="H72" s="11" t="n"/>
      <c r="I72" s="11" t="n"/>
      <c r="J72" s="11" t="n"/>
      <c r="K72" s="11" t="n"/>
      <c r="L72" s="11" t="n"/>
      <c r="M72" s="15" t="n"/>
      <c r="N72" s="11" t="n"/>
    </row>
    <row r="73">
      <c r="A73" s="11" t="n"/>
      <c r="B73" s="11" t="n"/>
      <c r="C73" s="11" t="n"/>
      <c r="D73" s="11" t="n"/>
      <c r="E73" s="11" t="n"/>
      <c r="F73" s="11" t="n"/>
      <c r="G73" s="11" t="n"/>
      <c r="H73" s="11" t="n"/>
      <c r="I73" s="11" t="n"/>
      <c r="J73" s="11" t="n"/>
      <c r="K73" s="11" t="n"/>
      <c r="L73" s="11" t="n"/>
      <c r="M73" s="15" t="n"/>
      <c r="N73" s="11" t="n"/>
    </row>
    <row r="74">
      <c r="A74" s="11" t="n"/>
      <c r="B74" s="11" t="n"/>
      <c r="C74" s="11" t="n"/>
      <c r="D74" s="11" t="n"/>
      <c r="E74" s="11" t="n"/>
      <c r="F74" s="11" t="n"/>
      <c r="G74" s="11" t="n"/>
      <c r="H74" s="11" t="n"/>
      <c r="I74" s="11" t="n"/>
      <c r="J74" s="11" t="n"/>
      <c r="K74" s="11" t="n"/>
      <c r="L74" s="11" t="n"/>
      <c r="M74" s="15" t="n"/>
      <c r="N74" s="11" t="n"/>
    </row>
    <row r="75">
      <c r="A75" s="11" t="n"/>
      <c r="B75" s="11" t="n"/>
      <c r="C75" s="11" t="n"/>
      <c r="D75" s="11" t="n"/>
      <c r="E75" s="11" t="n"/>
      <c r="F75" s="11" t="n"/>
      <c r="G75" s="11" t="n"/>
      <c r="H75" s="11" t="n"/>
      <c r="I75" s="11" t="n"/>
      <c r="J75" s="11" t="n"/>
      <c r="K75" s="11" t="n"/>
      <c r="L75" s="11" t="n"/>
      <c r="M75" s="15" t="n"/>
      <c r="N75" s="11" t="n"/>
    </row>
    <row r="76">
      <c r="A76" s="11" t="n"/>
      <c r="B76" s="11" t="n"/>
      <c r="C76" s="11" t="n"/>
      <c r="D76" s="11" t="n"/>
      <c r="E76" s="11" t="n"/>
      <c r="F76" s="11" t="n"/>
      <c r="G76" s="11" t="n"/>
      <c r="H76" s="11" t="n"/>
      <c r="I76" s="11" t="n"/>
      <c r="J76" s="11" t="n"/>
      <c r="K76" s="11" t="n"/>
      <c r="L76" s="11" t="n"/>
      <c r="M76" s="15" t="n"/>
      <c r="N76" s="11" t="n"/>
    </row>
    <row r="77">
      <c r="A77" s="11" t="n"/>
      <c r="B77" s="11" t="n"/>
      <c r="C77" s="11" t="n"/>
      <c r="D77" s="11" t="n"/>
      <c r="E77" s="11" t="n"/>
      <c r="F77" s="11" t="n"/>
      <c r="G77" s="11" t="n"/>
      <c r="H77" s="11" t="n"/>
      <c r="I77" s="11" t="n"/>
      <c r="J77" s="11" t="n"/>
      <c r="K77" s="11" t="n"/>
      <c r="L77" s="11" t="n"/>
      <c r="M77" s="15" t="n"/>
      <c r="N77" s="11" t="n"/>
    </row>
    <row r="78">
      <c r="A78" s="11" t="n"/>
      <c r="B78" s="11" t="n"/>
      <c r="C78" s="11" t="n"/>
      <c r="D78" s="11" t="n"/>
      <c r="E78" s="11" t="n"/>
      <c r="F78" s="11" t="n"/>
      <c r="G78" s="11" t="n"/>
      <c r="H78" s="11" t="n"/>
      <c r="I78" s="11" t="n"/>
      <c r="J78" s="11" t="n"/>
      <c r="K78" s="11" t="n"/>
      <c r="L78" s="11" t="n"/>
      <c r="M78" s="15" t="n"/>
      <c r="N78" s="11" t="n"/>
    </row>
    <row r="79">
      <c r="A79" s="11" t="n"/>
      <c r="B79" s="11" t="n"/>
      <c r="C79" s="11" t="n"/>
      <c r="D79" s="11" t="n"/>
      <c r="E79" s="11" t="n"/>
      <c r="F79" s="11" t="n"/>
      <c r="G79" s="11" t="n"/>
      <c r="H79" s="11" t="n"/>
      <c r="I79" s="11" t="n"/>
      <c r="J79" s="11" t="n"/>
      <c r="K79" s="11" t="n"/>
      <c r="L79" s="11" t="n"/>
      <c r="M79" s="15" t="n"/>
      <c r="N79" s="11" t="n"/>
    </row>
    <row r="80">
      <c r="A80" s="11" t="n"/>
      <c r="B80" s="11" t="n"/>
      <c r="C80" s="11" t="n"/>
      <c r="D80" s="11" t="n"/>
      <c r="E80" s="11" t="n"/>
      <c r="F80" s="11" t="n"/>
      <c r="G80" s="11" t="n"/>
      <c r="H80" s="11" t="n"/>
      <c r="I80" s="11" t="n"/>
      <c r="J80" s="11" t="n"/>
      <c r="K80" s="11" t="n"/>
      <c r="L80" s="11" t="n"/>
      <c r="M80" s="15" t="n"/>
      <c r="N80" s="11" t="n"/>
    </row>
    <row r="81">
      <c r="A81" s="11" t="n"/>
      <c r="B81" s="11" t="n"/>
      <c r="C81" s="11" t="n"/>
      <c r="D81" s="11" t="n"/>
      <c r="E81" s="11" t="n"/>
      <c r="F81" s="11" t="n"/>
      <c r="G81" s="11" t="n"/>
      <c r="H81" s="11" t="n"/>
      <c r="I81" s="11" t="n"/>
      <c r="J81" s="11" t="n"/>
      <c r="K81" s="11" t="n"/>
      <c r="L81" s="11" t="n"/>
      <c r="M81" s="15" t="n"/>
      <c r="N81" s="11" t="n"/>
    </row>
    <row r="82">
      <c r="A82" s="11" t="n"/>
      <c r="B82" s="11" t="n"/>
      <c r="C82" s="11" t="n"/>
      <c r="D82" s="11" t="n"/>
      <c r="E82" s="11" t="n"/>
      <c r="F82" s="11" t="n"/>
      <c r="G82" s="11" t="n"/>
      <c r="H82" s="11" t="n"/>
      <c r="I82" s="11" t="n"/>
      <c r="J82" s="11" t="n"/>
      <c r="K82" s="11" t="n"/>
      <c r="L82" s="11" t="n"/>
      <c r="M82" s="15" t="n"/>
      <c r="N82" s="11" t="n"/>
    </row>
    <row r="83">
      <c r="A83" s="11" t="n"/>
      <c r="B83" s="11" t="n"/>
      <c r="C83" s="11" t="n"/>
      <c r="D83" s="11" t="n"/>
      <c r="E83" s="11" t="n"/>
      <c r="F83" s="11" t="n"/>
      <c r="G83" s="11" t="n"/>
      <c r="H83" s="11" t="n"/>
      <c r="I83" s="11" t="n"/>
      <c r="J83" s="11" t="n"/>
      <c r="K83" s="11" t="n"/>
      <c r="L83" s="11" t="n"/>
      <c r="M83" s="15" t="n"/>
      <c r="N83" s="11" t="n"/>
    </row>
    <row r="84">
      <c r="A84" s="11" t="n"/>
      <c r="B84" s="11" t="n"/>
      <c r="C84" s="11" t="n"/>
      <c r="D84" s="11" t="n"/>
      <c r="E84" s="11" t="n"/>
      <c r="F84" s="11" t="n"/>
      <c r="G84" s="11" t="n"/>
      <c r="H84" s="11" t="n"/>
      <c r="I84" s="11" t="n"/>
      <c r="J84" s="11" t="n"/>
      <c r="K84" s="11" t="n"/>
      <c r="L84" s="11" t="n"/>
      <c r="M84" s="15" t="n"/>
      <c r="N84" s="11" t="n"/>
    </row>
    <row r="85">
      <c r="A85" s="11" t="n"/>
      <c r="B85" s="11" t="n"/>
      <c r="C85" s="11" t="n"/>
      <c r="D85" s="11" t="n"/>
      <c r="E85" s="11" t="n"/>
      <c r="F85" s="11" t="n"/>
      <c r="G85" s="11" t="n"/>
      <c r="H85" s="11" t="n"/>
      <c r="I85" s="11" t="n"/>
      <c r="J85" s="11" t="n"/>
      <c r="K85" s="11" t="n"/>
      <c r="L85" s="11" t="n"/>
      <c r="M85" s="15" t="n"/>
      <c r="N85" s="11" t="n"/>
    </row>
    <row r="86">
      <c r="A86" s="11" t="n"/>
      <c r="B86" s="11" t="n"/>
      <c r="C86" s="11" t="n"/>
      <c r="D86" s="11" t="n"/>
      <c r="E86" s="11" t="n"/>
      <c r="F86" s="11" t="n"/>
      <c r="G86" s="11" t="n"/>
      <c r="H86" s="11" t="n"/>
      <c r="I86" s="11" t="n"/>
      <c r="J86" s="11" t="n"/>
      <c r="K86" s="11" t="n"/>
      <c r="L86" s="11" t="n"/>
      <c r="M86" s="15" t="n"/>
      <c r="N86" s="11" t="n"/>
    </row>
    <row r="87">
      <c r="A87" s="11" t="n"/>
      <c r="B87" s="11" t="n"/>
      <c r="C87" s="11" t="n"/>
      <c r="D87" s="11" t="n"/>
      <c r="E87" s="11" t="n"/>
      <c r="F87" s="11" t="n"/>
      <c r="G87" s="11" t="n"/>
      <c r="H87" s="11" t="n"/>
      <c r="I87" s="11" t="n"/>
      <c r="J87" s="11" t="n"/>
      <c r="K87" s="11" t="n"/>
      <c r="L87" s="11" t="n"/>
      <c r="M87" s="15" t="n"/>
      <c r="N87" s="11" t="n"/>
    </row>
    <row r="88">
      <c r="A88" s="11" t="n"/>
      <c r="B88" s="11" t="n"/>
      <c r="C88" s="11" t="n"/>
      <c r="D88" s="11" t="n"/>
      <c r="E88" s="11" t="n"/>
      <c r="F88" s="11" t="n"/>
      <c r="G88" s="11" t="n"/>
      <c r="H88" s="11" t="n"/>
      <c r="I88" s="11" t="n"/>
      <c r="J88" s="11" t="n"/>
      <c r="K88" s="11" t="n"/>
      <c r="L88" s="11" t="n"/>
      <c r="M88" s="15" t="n"/>
      <c r="N88" s="11" t="n"/>
    </row>
    <row r="89">
      <c r="A89" s="11" t="n"/>
      <c r="B89" s="11" t="n"/>
      <c r="C89" s="11" t="n"/>
      <c r="D89" s="11" t="n"/>
      <c r="E89" s="11" t="n"/>
      <c r="F89" s="11" t="n"/>
      <c r="G89" s="11" t="n"/>
      <c r="H89" s="11" t="n"/>
      <c r="I89" s="11" t="n"/>
      <c r="J89" s="11" t="n"/>
      <c r="K89" s="11" t="n"/>
      <c r="L89" s="11" t="n"/>
      <c r="M89" s="15" t="n"/>
      <c r="N89" s="11" t="n"/>
    </row>
    <row r="90">
      <c r="A90" s="11" t="n"/>
      <c r="B90" s="11" t="n"/>
      <c r="C90" s="11" t="n"/>
      <c r="D90" s="11" t="n"/>
      <c r="E90" s="11" t="n"/>
      <c r="F90" s="11" t="n"/>
      <c r="G90" s="11" t="n"/>
      <c r="H90" s="11" t="n"/>
      <c r="I90" s="11" t="n"/>
      <c r="J90" s="11" t="n"/>
      <c r="K90" s="11" t="n"/>
      <c r="L90" s="11" t="n"/>
      <c r="M90" s="15" t="n"/>
      <c r="N90" s="11" t="n"/>
    </row>
    <row r="91">
      <c r="A91" s="11" t="n"/>
      <c r="B91" s="11" t="n"/>
      <c r="C91" s="11" t="n"/>
      <c r="D91" s="11" t="n"/>
      <c r="E91" s="11" t="n"/>
      <c r="F91" s="11" t="n"/>
      <c r="G91" s="11" t="n"/>
      <c r="H91" s="11" t="n"/>
      <c r="I91" s="11" t="n"/>
      <c r="J91" s="11" t="n"/>
      <c r="K91" s="11" t="n"/>
      <c r="L91" s="11" t="n"/>
      <c r="M91" s="15" t="n"/>
      <c r="N91" s="11" t="n"/>
    </row>
    <row r="92">
      <c r="A92" s="11" t="n"/>
      <c r="B92" s="11" t="n"/>
      <c r="C92" s="11" t="n"/>
      <c r="D92" s="11" t="n"/>
      <c r="E92" s="11" t="n"/>
      <c r="F92" s="11" t="n"/>
      <c r="G92" s="11" t="n"/>
      <c r="H92" s="11" t="n"/>
      <c r="I92" s="11" t="n"/>
      <c r="J92" s="11" t="n"/>
      <c r="K92" s="11" t="n"/>
      <c r="L92" s="11" t="n"/>
      <c r="M92" s="15" t="n"/>
      <c r="N92" s="11" t="n"/>
    </row>
    <row r="93">
      <c r="A93" s="11" t="n"/>
      <c r="B93" s="11" t="n"/>
      <c r="C93" s="11" t="n"/>
      <c r="D93" s="11" t="n"/>
      <c r="E93" s="11" t="n"/>
      <c r="F93" s="11" t="n"/>
      <c r="G93" s="11" t="n"/>
      <c r="H93" s="11" t="n"/>
      <c r="I93" s="11" t="n"/>
      <c r="J93" s="11" t="n"/>
      <c r="K93" s="11" t="n"/>
      <c r="L93" s="11" t="n"/>
      <c r="M93" s="15" t="n"/>
      <c r="N93" s="11" t="n"/>
    </row>
    <row r="94">
      <c r="A94" s="11" t="n"/>
      <c r="B94" s="11" t="n"/>
      <c r="C94" s="11" t="n"/>
      <c r="D94" s="11" t="n"/>
      <c r="E94" s="11" t="n"/>
      <c r="F94" s="11" t="n"/>
      <c r="G94" s="11" t="n"/>
      <c r="H94" s="11" t="n"/>
      <c r="I94" s="11" t="n"/>
      <c r="J94" s="11" t="n"/>
      <c r="K94" s="11" t="n"/>
      <c r="L94" s="11" t="n"/>
      <c r="M94" s="15" t="n"/>
      <c r="N94" s="11" t="n"/>
    </row>
    <row r="95">
      <c r="A95" s="11" t="n"/>
      <c r="B95" s="11" t="n"/>
      <c r="C95" s="11" t="n"/>
      <c r="D95" s="11" t="n"/>
      <c r="E95" s="11" t="n"/>
      <c r="F95" s="11" t="n"/>
      <c r="G95" s="11" t="n"/>
      <c r="H95" s="11" t="n"/>
      <c r="I95" s="11" t="n"/>
      <c r="J95" s="11" t="n"/>
      <c r="K95" s="11" t="n"/>
      <c r="L95" s="11" t="n"/>
      <c r="M95" s="15" t="n"/>
      <c r="N95" s="11" t="n"/>
    </row>
    <row r="96">
      <c r="A96" s="11" t="n"/>
      <c r="B96" s="11" t="n"/>
      <c r="C96" s="11" t="n"/>
      <c r="D96" s="11" t="n"/>
      <c r="E96" s="11" t="n"/>
      <c r="F96" s="11" t="n"/>
      <c r="G96" s="11" t="n"/>
      <c r="H96" s="11" t="n"/>
      <c r="I96" s="11" t="n"/>
      <c r="J96" s="11" t="n"/>
      <c r="K96" s="11" t="n"/>
      <c r="L96" s="11" t="n"/>
      <c r="M96" s="15" t="n"/>
      <c r="N96" s="11" t="n"/>
    </row>
    <row r="97">
      <c r="A97" s="11" t="n"/>
      <c r="B97" s="11" t="n"/>
      <c r="C97" s="11" t="n"/>
      <c r="D97" s="11" t="n"/>
      <c r="E97" s="11" t="n"/>
      <c r="F97" s="11" t="n"/>
      <c r="G97" s="11" t="n"/>
      <c r="H97" s="11" t="n"/>
      <c r="I97" s="11" t="n"/>
      <c r="J97" s="11" t="n"/>
      <c r="K97" s="11" t="n"/>
      <c r="L97" s="11" t="n"/>
      <c r="M97" s="15" t="n"/>
      <c r="N97" s="11" t="n"/>
    </row>
    <row r="98">
      <c r="A98" s="11" t="n"/>
      <c r="B98" s="11" t="n"/>
      <c r="C98" s="11" t="n"/>
      <c r="D98" s="11" t="n"/>
      <c r="E98" s="11" t="n"/>
      <c r="F98" s="11" t="n"/>
      <c r="G98" s="11" t="n"/>
      <c r="H98" s="11" t="n"/>
      <c r="I98" s="11" t="n"/>
      <c r="J98" s="11" t="n"/>
      <c r="K98" s="11" t="n"/>
      <c r="L98" s="11" t="n"/>
      <c r="M98" s="15" t="n"/>
      <c r="N98" s="11" t="n"/>
    </row>
    <row r="99">
      <c r="A99" s="11" t="n"/>
      <c r="B99" s="11" t="n"/>
      <c r="C99" s="11" t="n"/>
      <c r="D99" s="11" t="n"/>
      <c r="E99" s="11" t="n"/>
      <c r="F99" s="11" t="n"/>
      <c r="G99" s="11" t="n"/>
      <c r="H99" s="11" t="n"/>
      <c r="I99" s="11" t="n"/>
      <c r="J99" s="11" t="n"/>
      <c r="K99" s="11" t="n"/>
      <c r="L99" s="11" t="n"/>
      <c r="M99" s="15" t="n"/>
      <c r="N99" s="11" t="n"/>
    </row>
    <row r="100">
      <c r="A100" s="11" t="n"/>
      <c r="B100" s="11" t="n"/>
      <c r="C100" s="11" t="n"/>
      <c r="D100" s="11" t="n"/>
      <c r="E100" s="11" t="n"/>
      <c r="F100" s="11" t="n"/>
      <c r="G100" s="11" t="n"/>
      <c r="H100" s="11" t="n"/>
      <c r="I100" s="11" t="n"/>
      <c r="J100" s="11" t="n"/>
      <c r="K100" s="11" t="n"/>
      <c r="L100" s="11" t="n"/>
      <c r="M100" s="15" t="n"/>
      <c r="N100" s="11" t="n"/>
    </row>
    <row r="101">
      <c r="A101" s="11" t="n"/>
      <c r="B101" s="11" t="n"/>
      <c r="C101" s="11" t="n"/>
      <c r="D101" s="11" t="n"/>
      <c r="E101" s="11" t="n"/>
      <c r="F101" s="11" t="n"/>
      <c r="G101" s="11" t="n"/>
      <c r="H101" s="11" t="n"/>
      <c r="I101" s="11" t="n"/>
      <c r="J101" s="11" t="n"/>
      <c r="K101" s="11" t="n"/>
      <c r="L101" s="11" t="n"/>
      <c r="M101" s="15" t="n"/>
      <c r="N101" s="11" t="n"/>
    </row>
    <row r="102">
      <c r="A102" s="11" t="n"/>
      <c r="B102" s="11" t="n"/>
      <c r="C102" s="11" t="n"/>
      <c r="D102" s="11" t="n"/>
      <c r="E102" s="11" t="n"/>
      <c r="F102" s="11" t="n"/>
      <c r="G102" s="11" t="n"/>
      <c r="H102" s="11" t="n"/>
      <c r="I102" s="11" t="n"/>
      <c r="J102" s="11" t="n"/>
      <c r="K102" s="11" t="n"/>
      <c r="L102" s="11" t="n"/>
      <c r="M102" s="15" t="n"/>
      <c r="N102" s="11" t="n"/>
    </row>
    <row r="103">
      <c r="A103" s="11" t="n"/>
      <c r="B103" s="11" t="n"/>
      <c r="C103" s="11" t="n"/>
      <c r="D103" s="11" t="n"/>
      <c r="E103" s="11" t="n"/>
      <c r="F103" s="11" t="n"/>
      <c r="G103" s="11" t="n"/>
      <c r="H103" s="11" t="n"/>
      <c r="I103" s="11" t="n"/>
      <c r="J103" s="11" t="n"/>
      <c r="K103" s="11" t="n"/>
      <c r="L103" s="11" t="n"/>
      <c r="M103" s="15" t="n"/>
      <c r="N103" s="11" t="n"/>
    </row>
    <row r="104">
      <c r="A104" s="11" t="n"/>
      <c r="B104" s="11" t="n"/>
      <c r="C104" s="11" t="n"/>
      <c r="D104" s="11" t="n"/>
      <c r="E104" s="11" t="n"/>
      <c r="F104" s="11" t="n"/>
      <c r="G104" s="11" t="n"/>
      <c r="H104" s="11" t="n"/>
      <c r="I104" s="11" t="n"/>
      <c r="J104" s="11" t="n"/>
      <c r="K104" s="11" t="n"/>
      <c r="L104" s="11" t="n"/>
      <c r="M104" s="15" t="n"/>
      <c r="N104" s="11" t="n"/>
    </row>
  </sheetData>
  <mergeCells count="8">
    <mergeCell ref="Q40:R40"/>
    <mergeCell ref="A3:N3"/>
    <mergeCell ref="Q12:R12"/>
    <mergeCell ref="A2:N2"/>
    <mergeCell ref="Q22:R22"/>
    <mergeCell ref="Q26:R26"/>
    <mergeCell ref="Q4:R4"/>
    <mergeCell ref="A1:N1"/>
  </mergeCells>
  <dataValidations count="4">
    <dataValidation sqref="E5:E104" showDropDown="0" showInputMessage="0" showErrorMessage="0" allowBlank="1" type="list">
      <formula1>"Bloqueante,Crítica,Mayor,Menor,Trivial"</formula1>
    </dataValidation>
    <dataValidation sqref="F5:F104" showDropDown="0" showInputMessage="0" showErrorMessage="0" allowBlank="1" type="list">
      <formula1>"Alta,Media,Baja"</formula1>
    </dataValidation>
    <dataValidation sqref="G5:G104" showDropDown="0" showInputMessage="0" showErrorMessage="0" allowBlank="1" type="list">
      <formula1>"Nuevo,Confirmado,No reproducible,En corrección,Corregido,Verificado,Diferido,Rechazado"</formula1>
    </dataValidation>
    <dataValidation sqref="J5:J104" showDropDown="0" showInputMessage="0" showErrorMessage="0" allowBlank="1" type="list">
      <formula1>"Siempre,Intermitente"</formula1>
    </dataValidation>
  </dataValidation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L25"/>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CP-001</t>
        </is>
      </c>
      <c r="C1" s="13" t="inlineStr">
        <is>
          <t>Descripción / Funcionalidad</t>
        </is>
      </c>
      <c r="D1" s="18" t="inlineStr">
        <is>
          <t>HU-01 · Mover a Pacman por el mapa</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135"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v>46294</v>
      </c>
      <c r="I3" s="11" t="inlineStr">
        <is>
          <t>Rodriguez Castro</t>
        </is>
      </c>
      <c r="J3" s="11" t="inlineStr">
        <is>
          <t>Aprobado</t>
        </is>
      </c>
      <c r="K3" s="11" t="inlineStr">
        <is>
          <t>Las 4 direcciones responden. Corrida 1: ← mueve a la izquierda, ↑ gira hacia arriba en la primera intersección libre, → gira a la derecha. Corrida 2: → desde la posición inicial y ↓ gira hacia abajo en la primera intersección libre. ↓ se verificó en una corrida aparte porque en la secuencia ←↑→↓ un fantasma intercepta a Pacman antes de la intersección (comportamiento esperado, no es defecto). La partida inicia directamente en modo Pacman, sin pantalla de selección.</t>
        </is>
      </c>
      <c r="L3" s="11" t="n"/>
    </row>
    <row r="4" ht="55.8"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Desde el cruce (4,6), ↓ → ↑ ← desplazaron a Pacman hacia abajo, derecha, arriba e izquierda respectivamente.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t>
        </is>
      </c>
      <c r="C10" s="14" t="n"/>
      <c r="D10" s="18" t="inlineStr">
        <is>
          <t>Modo de juego:</t>
        </is>
      </c>
      <c r="E10" s="7" t="inlineStr">
        <is>
          <t>Pacman</t>
        </is>
      </c>
    </row>
    <row r="12">
      <c r="A12" s="13" t="inlineStr">
        <is>
          <t>Título del CP</t>
        </is>
      </c>
      <c r="B12" s="34" t="inlineStr">
        <is>
          <t>Movimiento de Pacman con las flechas</t>
        </is>
      </c>
      <c r="C12" s="14" t="n"/>
      <c r="D12" s="14" t="n"/>
      <c r="E12" s="14" t="n"/>
    </row>
    <row r="13">
      <c r="A13" s="33" t="n"/>
      <c r="B13" s="14" t="n"/>
      <c r="C13" s="14" t="n"/>
      <c r="D13" s="14" t="n"/>
      <c r="E13" s="14" t="n"/>
    </row>
    <row r="15">
      <c r="A15" s="13" t="inlineStr">
        <is>
          <t>Historias de Usuario</t>
        </is>
      </c>
      <c r="B15" s="7" t="inlineStr">
        <is>
          <t>HU-01</t>
        </is>
      </c>
      <c r="C15" s="13" t="inlineStr">
        <is>
          <t>Épica</t>
        </is>
      </c>
      <c r="D15" s="7" t="inlineStr">
        <is>
          <t>E1 — Núcleo de juego y movimiento</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ht="16.2" customHeight="1">
      <c r="A18" s="13" t="inlineStr">
        <is>
          <t>Mutación (Entrega 2)</t>
        </is>
      </c>
      <c r="B18" s="35" t="inlineStr">
        <is>
          <t>Secuencia invertida: ↓ → ↑ ← (la V1 usó ← ↑ → ↓).</t>
        </is>
      </c>
      <c r="C18" s="36" t="n"/>
      <c r="D18" s="36" t="n"/>
      <c r="E18" s="36" t="n"/>
    </row>
    <row r="20">
      <c r="A20" s="13" t="inlineStr">
        <is>
          <t>Pasos #</t>
        </is>
      </c>
      <c r="B20" s="13" t="inlineStr">
        <is>
          <t>Detalle de pasos</t>
        </is>
      </c>
      <c r="C20" s="33" t="n"/>
      <c r="D20" s="13" t="inlineStr">
        <is>
          <t>Resultado esperado</t>
        </is>
      </c>
      <c r="E20" s="33" t="n"/>
    </row>
    <row r="21" ht="16.2" customHeight="1">
      <c r="A21" s="8" t="n">
        <v>1</v>
      </c>
      <c r="B21" s="7" t="inlineStr">
        <is>
          <t>Presionar ←.</t>
        </is>
      </c>
      <c r="C21" s="14" t="n"/>
      <c r="D21" s="7" t="inlineStr">
        <is>
          <t>Pacman se desplaza hacia la izquierda.</t>
        </is>
      </c>
      <c r="E21" s="14" t="n"/>
    </row>
    <row r="22" ht="16.2" customHeight="1">
      <c r="A22" s="8" t="n">
        <v>2</v>
      </c>
      <c r="B22" s="7" t="inlineStr">
        <is>
          <t>Presionar ↑.</t>
        </is>
      </c>
      <c r="C22" s="14" t="n"/>
      <c r="D22" s="7" t="inlineStr">
        <is>
          <t>Pacman se desplaza hacia arriba.</t>
        </is>
      </c>
      <c r="E22" s="14" t="n"/>
    </row>
    <row r="23" ht="16.2" customHeight="1">
      <c r="A23" s="8" t="n">
        <v>3</v>
      </c>
      <c r="B23" s="7" t="inlineStr">
        <is>
          <t>Presionar →.</t>
        </is>
      </c>
      <c r="C23" s="14" t="n"/>
      <c r="D23" s="7" t="inlineStr">
        <is>
          <t>Pacman se desplaza hacia la derecha.</t>
        </is>
      </c>
      <c r="E23" s="14" t="n"/>
    </row>
    <row r="24" ht="29.4" customHeight="1">
      <c r="A24" s="8" t="n">
        <v>4</v>
      </c>
      <c r="B24" s="7" t="inlineStr">
        <is>
          <t>Presionar ↓.</t>
        </is>
      </c>
      <c r="C24" s="14" t="n"/>
      <c r="D24" s="18" t="inlineStr">
        <is>
          <t>Pacman se desplaza en la dirección de cada tecla presionada, siempre que el camino esté libre.</t>
        </is>
      </c>
      <c r="E24" s="14" t="n"/>
    </row>
    <row r="25" ht="24" customHeight="1">
      <c r="A25" s="21" t="inlineStr">
        <is>
          <t>El caso se aprueba solo si se cumple todo el resultado esperado del último paso (en negrita); si cualquier parte no se cumple, se registra como Fallido.</t>
        </is>
      </c>
    </row>
  </sheetData>
  <mergeCells count="29">
    <mergeCell ref="D20:E20"/>
    <mergeCell ref="B7:C7"/>
    <mergeCell ref="D1:E1"/>
    <mergeCell ref="B12:E13"/>
    <mergeCell ref="B22:C22"/>
    <mergeCell ref="D22:E22"/>
    <mergeCell ref="D21:E21"/>
    <mergeCell ref="B21:C21"/>
    <mergeCell ref="D2:E2"/>
    <mergeCell ref="A12:A13"/>
    <mergeCell ref="A25:E25"/>
    <mergeCell ref="B23:C23"/>
    <mergeCell ref="B8:C8"/>
    <mergeCell ref="A3:B3"/>
    <mergeCell ref="G1:L1"/>
    <mergeCell ref="D16:E16"/>
    <mergeCell ref="B18:E18"/>
    <mergeCell ref="D7:E7"/>
    <mergeCell ref="B10:C10"/>
    <mergeCell ref="D4:E4"/>
    <mergeCell ref="B9:C9"/>
    <mergeCell ref="D3:E3"/>
    <mergeCell ref="G6:L7"/>
    <mergeCell ref="B24:C24"/>
    <mergeCell ref="D24:E24"/>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L25"/>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CP-002</t>
        </is>
      </c>
      <c r="C1" s="13" t="inlineStr">
        <is>
          <t>Descripción / Funcionalidad</t>
        </is>
      </c>
      <c r="D1" s="18" t="inlineStr">
        <is>
          <t>HU-01 · Mover a Pacman por el mapa</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95.39999999999999"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v>46294</v>
      </c>
      <c r="I3" s="11" t="inlineStr">
        <is>
          <t>Rodriguez Castro</t>
        </is>
      </c>
      <c r="J3" s="11" t="inlineStr">
        <is>
          <t>Aprobado</t>
        </is>
      </c>
      <c r="K3" s="11" t="inlineStr">
        <is>
          <t>Las 4 teclas responden igual que las flechas. Corrida 1: A izquierda, W arriba, D derecha (mismas trayectorias y tiempos que ←↑→ en CP-001). Corrida 2: D desde la posición inicial y S gira hacia abajo en la primera intersección libre (idéntica a →↓). S se verificó aparte por la intercepción del fantasma.</t>
        </is>
      </c>
      <c r="L3" s="11" t="n"/>
    </row>
    <row r="4" ht="55.8"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S D W A produjeron el mismo desplazamiento que ↓ → ↑ ← (abajo, derecha, arriba, izquierda).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t>
        </is>
      </c>
      <c r="C10" s="14" t="n"/>
      <c r="D10" s="18" t="inlineStr">
        <is>
          <t>Modo de juego:</t>
        </is>
      </c>
      <c r="E10" s="7" t="inlineStr">
        <is>
          <t>Pacman</t>
        </is>
      </c>
    </row>
    <row r="12">
      <c r="A12" s="13" t="inlineStr">
        <is>
          <t>Título del CP</t>
        </is>
      </c>
      <c r="B12" s="34" t="inlineStr">
        <is>
          <t>Movimiento de Pacman con WASD</t>
        </is>
      </c>
      <c r="C12" s="14" t="n"/>
      <c r="D12" s="14" t="n"/>
      <c r="E12" s="14" t="n"/>
    </row>
    <row r="13">
      <c r="A13" s="33" t="n"/>
      <c r="B13" s="14" t="n"/>
      <c r="C13" s="14" t="n"/>
      <c r="D13" s="14" t="n"/>
      <c r="E13" s="14" t="n"/>
    </row>
    <row r="15">
      <c r="A15" s="13" t="inlineStr">
        <is>
          <t>Historias de Usuario</t>
        </is>
      </c>
      <c r="B15" s="7" t="inlineStr">
        <is>
          <t>HU-01</t>
        </is>
      </c>
      <c r="C15" s="13" t="inlineStr">
        <is>
          <t>Épica</t>
        </is>
      </c>
      <c r="D15" s="7" t="inlineStr">
        <is>
          <t>E1 — Núcleo de juego y movimiento</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ht="16.2" customHeight="1">
      <c r="A18" s="13" t="inlineStr">
        <is>
          <t>Mutación (Entrega 2)</t>
        </is>
      </c>
      <c r="B18" s="35" t="inlineStr">
        <is>
          <t>Secuencia invertida: S D W A.</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Presionar A.</t>
        </is>
      </c>
      <c r="C21" s="14" t="n"/>
      <c r="D21" s="7" t="inlineStr">
        <is>
          <t>Pacman se desplaza hacia la izquierda, igual que con ←.</t>
        </is>
      </c>
      <c r="E21" s="14" t="n"/>
    </row>
    <row r="22" ht="16.2" customHeight="1">
      <c r="A22" s="8" t="n">
        <v>2</v>
      </c>
      <c r="B22" s="7" t="inlineStr">
        <is>
          <t>Presionar W.</t>
        </is>
      </c>
      <c r="C22" s="14" t="n"/>
      <c r="D22" s="7" t="inlineStr">
        <is>
          <t>Pacman se desplaza hacia arriba, igual que con ↑.</t>
        </is>
      </c>
      <c r="E22" s="14" t="n"/>
    </row>
    <row r="23" ht="29.4" customHeight="1">
      <c r="A23" s="8" t="n">
        <v>3</v>
      </c>
      <c r="B23" s="7" t="inlineStr">
        <is>
          <t>Presionar D.</t>
        </is>
      </c>
      <c r="C23" s="14" t="n"/>
      <c r="D23" s="7" t="inlineStr">
        <is>
          <t>Pacman se desplaza hacia la derecha, igual que con →.</t>
        </is>
      </c>
      <c r="E23" s="14" t="n"/>
    </row>
    <row r="24" ht="29.4" customHeight="1">
      <c r="A24" s="8" t="n">
        <v>4</v>
      </c>
      <c r="B24" s="7" t="inlineStr">
        <is>
          <t>Presionar S.</t>
        </is>
      </c>
      <c r="C24" s="14" t="n"/>
      <c r="D24" s="18" t="inlineStr">
        <is>
          <t>Cada tecla produce el mismo desplazamiento que ←, ↑, → y ↓ respectivamente.</t>
        </is>
      </c>
      <c r="E24" s="14" t="n"/>
    </row>
    <row r="25" ht="24" customHeight="1">
      <c r="A25" s="21" t="inlineStr">
        <is>
          <t>El caso se aprueba solo si se cumple todo el resultado esperado del último paso (en negrita); si cualquier parte no se cumple, se registra como Fallido.</t>
        </is>
      </c>
    </row>
  </sheetData>
  <mergeCells count="29">
    <mergeCell ref="D20:E20"/>
    <mergeCell ref="B7:C7"/>
    <mergeCell ref="D1:E1"/>
    <mergeCell ref="B12:E13"/>
    <mergeCell ref="B22:C22"/>
    <mergeCell ref="D22:E22"/>
    <mergeCell ref="D21:E21"/>
    <mergeCell ref="B21:C21"/>
    <mergeCell ref="D2:E2"/>
    <mergeCell ref="A12:A13"/>
    <mergeCell ref="A25:E25"/>
    <mergeCell ref="B23:C23"/>
    <mergeCell ref="B8:C8"/>
    <mergeCell ref="A3:B3"/>
    <mergeCell ref="G1:L1"/>
    <mergeCell ref="D16:E16"/>
    <mergeCell ref="B18:E18"/>
    <mergeCell ref="D7:E7"/>
    <mergeCell ref="B10:C10"/>
    <mergeCell ref="D4:E4"/>
    <mergeCell ref="B9:C9"/>
    <mergeCell ref="D3:E3"/>
    <mergeCell ref="G6:L7"/>
    <mergeCell ref="B24:C24"/>
    <mergeCell ref="D24:E24"/>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CP-003</t>
        </is>
      </c>
      <c r="C1" s="13" t="inlineStr">
        <is>
          <t>Descripción / Funcionalidad</t>
        </is>
      </c>
      <c r="D1" s="18" t="inlineStr">
        <is>
          <t>HU-01 · Mover a Pacman por el mapa</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55.8"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v>46294</v>
      </c>
      <c r="I3" s="11" t="inlineStr">
        <is>
          <t>Rodriguez Castro</t>
        </is>
      </c>
      <c r="J3" s="11" t="inlineStr">
        <is>
          <t>Aprobado</t>
        </is>
      </c>
      <c r="K3" s="11" t="inlineStr">
        <is>
          <t>Aprobado. Avance continuo verificado en el registro de posición cuadro a cuadro. A los 3,0 s un fantasma alcanzó a Pacman, que ya estaba detenido contra el muro; no afecta al resultado.</t>
        </is>
      </c>
      <c r="L3" s="11" t="n"/>
    </row>
    <row r="4" ht="6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Tras un toque de ↓ en (10,6), Pacman siguió bajando sin mantener la tecla hasta el muro inferior (fila 13) y se detuvo ahí.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Adivinación de errores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Partida en curso (N1), Pacman en un corredor libre.</t>
        </is>
      </c>
      <c r="C10" s="14" t="n"/>
      <c r="D10" s="18" t="inlineStr">
        <is>
          <t>Modo de juego:</t>
        </is>
      </c>
      <c r="E10" s="7" t="inlineStr">
        <is>
          <t>Pacman</t>
        </is>
      </c>
    </row>
    <row r="12">
      <c r="A12" s="13" t="inlineStr">
        <is>
          <t>Título del CP</t>
        </is>
      </c>
      <c r="B12" s="34" t="inlineStr">
        <is>
          <t>Avance continuo sin mantener la tecla</t>
        </is>
      </c>
      <c r="C12" s="14" t="n"/>
      <c r="D12" s="14" t="n"/>
      <c r="E12" s="14" t="n"/>
    </row>
    <row r="13">
      <c r="A13" s="33" t="n"/>
      <c r="B13" s="14" t="n"/>
      <c r="C13" s="14" t="n"/>
      <c r="D13" s="14" t="n"/>
      <c r="E13" s="14" t="n"/>
    </row>
    <row r="15">
      <c r="A15" s="13" t="inlineStr">
        <is>
          <t>Historias de Usuario</t>
        </is>
      </c>
      <c r="B15" s="7" t="inlineStr">
        <is>
          <t>HU-01</t>
        </is>
      </c>
      <c r="C15" s="13" t="inlineStr">
        <is>
          <t>Épica</t>
        </is>
      </c>
      <c r="D15" s="7" t="inlineStr">
        <is>
          <t>E1 — Núcleo de juego y movimiento</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ht="16.2" customHeight="1">
      <c r="A18" s="13" t="inlineStr">
        <is>
          <t>Mutación (Entrega 2)</t>
        </is>
      </c>
      <c r="B18" s="35" t="inlineStr">
        <is>
          <t>Se usa la dirección ↓ desde una celda distinta a la de la V1 (fila 10).</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Presionar y liberar de inmediato la tecla de una dirección libre.</t>
        </is>
      </c>
      <c r="C21" s="14" t="n"/>
      <c r="D21" s="7" t="inlineStr">
        <is>
          <t>Pacman comienza a avanzar en la dirección indicada.</t>
        </is>
      </c>
      <c r="E21" s="14" t="n"/>
    </row>
    <row r="22" ht="29.4" customHeight="1">
      <c r="A22" s="8" t="n">
        <v>2</v>
      </c>
      <c r="B22" s="7" t="inlineStr">
        <is>
          <t>Observar durante 3 segundos sin tocar el teclado.</t>
        </is>
      </c>
      <c r="C22" s="14" t="n"/>
      <c r="D22" s="18" t="inlineStr">
        <is>
          <t>Pacman sigue avanzando en esa dirección durante los 3 segundos, hasta encontrar un muro.</t>
        </is>
      </c>
      <c r="E22" s="1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CP-005</t>
        </is>
      </c>
      <c r="C1" s="13" t="inlineStr">
        <is>
          <t>Descripción / Funcionalidad</t>
        </is>
      </c>
      <c r="D1" s="18" t="inlineStr">
        <is>
          <t>HU-01 · Mover a Pacman por el mapa</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42.59999999999999"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v>46294</v>
      </c>
      <c r="I3" s="11" t="inlineStr">
        <is>
          <t>Rodriguez Castro</t>
        </is>
      </c>
      <c r="J3" s="11" t="inlineStr">
        <is>
          <t>Aprobado</t>
        </is>
      </c>
      <c r="K3" s="11" t="inlineStr">
        <is>
          <t>Aprobado. No se detuvo ni quedó trabado. El giro posterior en (7,15) corresponde al giro postergado (CP-004).</t>
        </is>
      </c>
      <c r="L3" s="11" t="n"/>
    </row>
    <row r="4" ht="6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Avanzando a la derecha por la fila 10 con muro debajo (11,2), ↓ no lo detuvo: siguió hacia la derecha (posición 2.68).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Partida en curso (N1), Pacman avanzando por un corredor horizontal con muros arriba y abajo.</t>
        </is>
      </c>
      <c r="C10" s="14" t="n"/>
      <c r="D10" s="18" t="inlineStr">
        <is>
          <t>Modo de juego:</t>
        </is>
      </c>
      <c r="E10" s="7" t="inlineStr">
        <is>
          <t>Pacman</t>
        </is>
      </c>
    </row>
    <row r="12">
      <c r="A12" s="13" t="inlineStr">
        <is>
          <t>Título del CP</t>
        </is>
      </c>
      <c r="B12" s="34" t="inlineStr">
        <is>
          <t>Dirección bloqueada por un muro</t>
        </is>
      </c>
      <c r="C12" s="14" t="n"/>
      <c r="D12" s="14" t="n"/>
      <c r="E12" s="14" t="n"/>
    </row>
    <row r="13">
      <c r="A13" s="33" t="n"/>
      <c r="B13" s="14" t="n"/>
      <c r="C13" s="14" t="n"/>
      <c r="D13" s="14" t="n"/>
      <c r="E13" s="14" t="n"/>
    </row>
    <row r="15">
      <c r="A15" s="13" t="inlineStr">
        <is>
          <t>Historias de Usuario</t>
        </is>
      </c>
      <c r="B15" s="7" t="inlineStr">
        <is>
          <t>HU-01</t>
        </is>
      </c>
      <c r="C15" s="13" t="inlineStr">
        <is>
          <t>Épica</t>
        </is>
      </c>
      <c r="D15" s="7" t="inlineStr">
        <is>
          <t>E1 — Núcleo de juego y movimiento</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16.2" customHeight="1">
      <c r="A18" s="13" t="inlineStr">
        <is>
          <t>Mutación (Entrega 2)</t>
        </is>
      </c>
      <c r="B18" s="35" t="inlineStr">
        <is>
          <t>Se ejecuta en la fila 10 con ↓ bloqueado, en lugar de ↑.</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Presionar ↑ con el muro inmediatamente arriba.</t>
        </is>
      </c>
      <c r="C21" s="14" t="n"/>
      <c r="D21" s="18" t="inlineStr">
        <is>
          <t>Pacman mantiene su dirección horizontal de avance. No se detiene ni queda trabado.</t>
        </is>
      </c>
      <c r="E21" s="14" t="n"/>
    </row>
    <row r="22" ht="24" customHeight="1">
      <c r="A22" s="21" t="inlineStr">
        <is>
          <t>El caso se aprueba solo si se cumple todo el resultado esperado del último paso (en negrita); si cualquier parte no se cumple, se registra como Fallido.</t>
        </is>
      </c>
    </row>
  </sheetData>
  <mergeCells count="23">
    <mergeCell ref="D20:E20"/>
    <mergeCell ref="B7:C7"/>
    <mergeCell ref="D1:E1"/>
    <mergeCell ref="B12:E13"/>
    <mergeCell ref="D21:E21"/>
    <mergeCell ref="B21:C21"/>
    <mergeCell ref="D2:E2"/>
    <mergeCell ref="A12:A13"/>
    <mergeCell ref="B8:C8"/>
    <mergeCell ref="A3:B3"/>
    <mergeCell ref="G1:L1"/>
    <mergeCell ref="D16:E16"/>
    <mergeCell ref="B18:E18"/>
    <mergeCell ref="D7:E7"/>
    <mergeCell ref="B10:C10"/>
    <mergeCell ref="D4:E4"/>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CP-007</t>
        </is>
      </c>
      <c r="C1" s="13" t="inlineStr">
        <is>
          <t>Descripción / Funcionalidad</t>
        </is>
      </c>
      <c r="D1" s="18" t="inlineStr">
        <is>
          <t>HU-02 · Impedir el paso a través de los muros</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69"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v>46294</v>
      </c>
      <c r="I3" s="11" t="inlineStr">
        <is>
          <t>Rodriguez Castro</t>
        </is>
      </c>
      <c r="J3" s="11" t="inlineStr">
        <is>
          <t>Aprobado</t>
        </is>
      </c>
      <c r="K3" s="11" t="inlineStr">
        <is>
          <t>Aprobado. La tecla sostenida se simuló con pulsaciones repetidas (39 en 5 s). Durante la prueba los fantasmas alcanzaron dos veces a Pacman, que reapareció en la misma celda junto al muro; la verificación continuó sin cambios.</t>
        </is>
      </c>
      <c r="L3" s="11" t="n"/>
    </row>
    <row r="4" ht="6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Con ← mantenida 5 s contra el muro izquierdo, Pacman se detuvo en (7,1) sin superponerse; luego ↑ lo movió con normalidad (fila 5).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t>
        </is>
      </c>
      <c r="C10" s="14" t="n"/>
      <c r="D10" s="18" t="inlineStr">
        <is>
          <t>Modo de juego:</t>
        </is>
      </c>
      <c r="E10" s="7" t="inlineStr">
        <is>
          <t>Pacman</t>
        </is>
      </c>
    </row>
    <row r="12">
      <c r="A12" s="13" t="inlineStr">
        <is>
          <t>Título del CP</t>
        </is>
      </c>
      <c r="B12" s="34" t="inlineStr">
        <is>
          <t>Pacman no atraviesa los muros</t>
        </is>
      </c>
      <c r="C12" s="14" t="n"/>
      <c r="D12" s="14" t="n"/>
      <c r="E12" s="14" t="n"/>
    </row>
    <row r="13">
      <c r="A13" s="33" t="n"/>
      <c r="B13" s="14" t="n"/>
      <c r="C13" s="14" t="n"/>
      <c r="D13" s="14" t="n"/>
      <c r="E13" s="14" t="n"/>
    </row>
    <row r="15">
      <c r="A15" s="13" t="inlineStr">
        <is>
          <t>Historias de Usuario</t>
        </is>
      </c>
      <c r="B15" s="7" t="inlineStr">
        <is>
          <t>HU-02</t>
        </is>
      </c>
      <c r="C15" s="13" t="inlineStr">
        <is>
          <t>Épica</t>
        </is>
      </c>
      <c r="D15" s="7" t="inlineStr">
        <is>
          <t>E1 — Núcleo de juego y movimiento</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16.2" customHeight="1">
      <c r="A18" s="13" t="inlineStr">
        <is>
          <t>Mutación (Entrega 2)</t>
        </is>
      </c>
      <c r="B18" s="35" t="inlineStr">
        <is>
          <t>Contra un muro a la izquierda (en la V1, a la derecha).</t>
        </is>
      </c>
      <c r="C18" s="36" t="n"/>
      <c r="D18" s="36" t="n"/>
      <c r="E18" s="36" t="n"/>
    </row>
    <row r="20">
      <c r="A20" s="13" t="inlineStr">
        <is>
          <t>Pasos #</t>
        </is>
      </c>
      <c r="B20" s="13" t="inlineStr">
        <is>
          <t>Detalle de pasos</t>
        </is>
      </c>
      <c r="C20" s="33" t="n"/>
      <c r="D20" s="13" t="inlineStr">
        <is>
          <t>Resultado esperado</t>
        </is>
      </c>
      <c r="E20" s="33" t="n"/>
    </row>
    <row r="21" ht="16.2" customHeight="1">
      <c r="A21" s="8" t="n">
        <v>1</v>
      </c>
      <c r="B21" s="7" t="inlineStr">
        <is>
          <t>Dirigir a Pacman contra un muro.</t>
        </is>
      </c>
      <c r="C21" s="14" t="n"/>
      <c r="D21" s="7" t="inlineStr">
        <is>
          <t>Pacman avanza hasta quedar junto al muro.</t>
        </is>
      </c>
      <c r="E21" s="14" t="n"/>
    </row>
    <row r="22" ht="42.59999999999999" customHeight="1">
      <c r="A22" s="8" t="n">
        <v>2</v>
      </c>
      <c r="B22" s="7" t="inlineStr">
        <is>
          <t>Mantener presionada la tecla de esa dirección durante 5 segundos.</t>
        </is>
      </c>
      <c r="C22" s="14" t="n"/>
      <c r="D22" s="18" t="inlineStr">
        <is>
          <t>Pacman se detiene contra el muro, no lo atraviesa, no queda superpuesto al muro y no queda encajado: al indicar otra dirección válida se mueve con normalidad.</t>
        </is>
      </c>
      <c r="E22" s="1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CP-008</t>
        </is>
      </c>
      <c r="C1" s="13" t="inlineStr">
        <is>
          <t>Descripción / Funcionalidad</t>
        </is>
      </c>
      <c r="D1" s="18" t="inlineStr">
        <is>
          <t>HU-02 · Impedir el paso a través de los muros</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69"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v>46294</v>
      </c>
      <c r="I3" s="11" t="inlineStr">
        <is>
          <t>Rodriguez Castro</t>
        </is>
      </c>
      <c r="J3" s="11" t="inlineStr">
        <is>
          <t>Aprobado</t>
        </is>
      </c>
      <c r="K3" s="11" t="inlineStr">
        <is>
          <t>Aprobado. Se usaron las esquinas porque las rutas por las columnas centrales son interceptadas por los fantasmas. Al llegar a las esquinas Pacman comió la esfera grande y se activó el PowerUp; no afecta la verificación de límites.</t>
        </is>
      </c>
      <c r="L3" s="11" t="n"/>
    </row>
    <row r="4" ht="6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En los bordes abajo (13,8), derecha (7,15), arriba (1,8) e izquierda (7,1), con la tecla hacia afuera, Pacman no salió del mapa y quedó visible.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t>
        </is>
      </c>
      <c r="C10" s="14" t="n"/>
      <c r="D10" s="18" t="inlineStr">
        <is>
          <t>Modo de juego:</t>
        </is>
      </c>
      <c r="E10" s="7" t="inlineStr">
        <is>
          <t>Pacman</t>
        </is>
      </c>
    </row>
    <row r="12">
      <c r="A12" s="13" t="inlineStr">
        <is>
          <t>Título del CP</t>
        </is>
      </c>
      <c r="B12" s="34" t="inlineStr">
        <is>
          <t>Pacman no sale de los límites del mapa</t>
        </is>
      </c>
      <c r="C12" s="14" t="n"/>
      <c r="D12" s="14" t="n"/>
      <c r="E12" s="14" t="n"/>
    </row>
    <row r="13">
      <c r="A13" s="33" t="n"/>
      <c r="B13" s="14" t="n"/>
      <c r="C13" s="14" t="n"/>
      <c r="D13" s="14" t="n"/>
      <c r="E13" s="14" t="n"/>
    </row>
    <row r="15">
      <c r="A15" s="13" t="inlineStr">
        <is>
          <t>Historias de Usuario</t>
        </is>
      </c>
      <c r="B15" s="7" t="inlineStr">
        <is>
          <t>HU-02</t>
        </is>
      </c>
      <c r="C15" s="13" t="inlineStr">
        <is>
          <t>Épica</t>
        </is>
      </c>
      <c r="D15" s="7" t="inlineStr">
        <is>
          <t>E1 — Núcleo de juego y movimiento</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16.2" customHeight="1">
      <c r="A18" s="13" t="inlineStr">
        <is>
          <t>Mutación (Entrega 2)</t>
        </is>
      </c>
      <c r="B18" s="35" t="inlineStr">
        <is>
          <t>Bordes recorridos en otro orden: abajo, derecha, arriba, izquierda.</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Llevar a Pacman al borde del mapa por cada uno de los cuatro lados.</t>
        </is>
      </c>
      <c r="C21" s="14" t="n"/>
      <c r="D21" s="7" t="inlineStr">
        <is>
          <t>Pacman llega al borde del mapa en cada lado.</t>
        </is>
      </c>
      <c r="E21" s="14" t="n"/>
    </row>
    <row r="22" ht="29.4" customHeight="1">
      <c r="A22" s="8" t="n">
        <v>2</v>
      </c>
      <c r="B22" s="7" t="inlineStr">
        <is>
          <t>Presionar la tecla que apunta hacia afuera del mapa.</t>
        </is>
      </c>
      <c r="C22" s="14" t="n"/>
      <c r="D22" s="18" t="inlineStr">
        <is>
          <t>Pacman no sale del mapa por ninguno de los cuatro lados y permanece visible en pantalla.</t>
        </is>
      </c>
      <c r="E22" s="1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CP-009</t>
        </is>
      </c>
      <c r="C1" s="13" t="inlineStr">
        <is>
          <t>Descripción / Funcionalidad</t>
        </is>
      </c>
      <c r="D1" s="18" t="inlineStr">
        <is>
          <t>HU-02 · Impedir el paso a través de los muros</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55.8"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v>46294</v>
      </c>
      <c r="I3" s="11" t="inlineStr">
        <is>
          <t>Rodriguez Castro</t>
        </is>
      </c>
      <c r="J3" s="11" t="inlineStr">
        <is>
          <t>Aprobado</t>
        </is>
      </c>
      <c r="K3" s="11" t="inlineStr">
        <is>
          <t xml:space="preserve">Aprobado. Pacman quieto: murió 24 veces y la partida se reinició 8 veces para mantener a los fantasmas en movimiento los 60 s. Los fantasmas recorrieron 13 celdas cada uno. </t>
        </is>
      </c>
      <c r="L3" s="11" t="n"/>
    </row>
    <row r="4" ht="55.8"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Nivel 2 durante 60 s: ningún fantasma clásico entró a un muro ni salió del mapa (tipos observados: ['classic']). (Vidas repuestas por script para que la partida no termine.)</t>
        </is>
      </c>
      <c r="L4" s="11" t="n"/>
    </row>
    <row r="5" ht="30" customHeight="1">
      <c r="A5" s="13" t="inlineStr">
        <is>
          <t>Prioridad (Alta, Media, Baja)</t>
        </is>
      </c>
      <c r="B5" s="18" t="inlineStr">
        <is>
          <t>Alta</t>
        </is>
      </c>
      <c r="C5" s="13" t="inlineStr">
        <is>
          <t>Técnica de diseño</t>
        </is>
      </c>
      <c r="D5" s="7" t="inlineStr">
        <is>
          <t>Adivinación de errores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t>
        </is>
      </c>
      <c r="C10" s="14" t="n"/>
      <c r="D10" s="18" t="inlineStr">
        <is>
          <t>Modo de juego:</t>
        </is>
      </c>
      <c r="E10" s="7" t="inlineStr">
        <is>
          <t>Pacman</t>
        </is>
      </c>
    </row>
    <row r="12">
      <c r="A12" s="13" t="inlineStr">
        <is>
          <t>Título del CP</t>
        </is>
      </c>
      <c r="B12" s="34" t="inlineStr">
        <is>
          <t>Los fantasmas clásicos no atraviesan muros</t>
        </is>
      </c>
      <c r="C12" s="14" t="n"/>
      <c r="D12" s="14" t="n"/>
      <c r="E12" s="14" t="n"/>
    </row>
    <row r="13">
      <c r="A13" s="33" t="n"/>
      <c r="B13" s="14" t="n"/>
      <c r="C13" s="14" t="n"/>
      <c r="D13" s="14" t="n"/>
      <c r="E13" s="14" t="n"/>
    </row>
    <row r="15">
      <c r="A15" s="13" t="inlineStr">
        <is>
          <t>Historias de Usuario</t>
        </is>
      </c>
      <c r="B15" s="7" t="inlineStr">
        <is>
          <t>HU-02</t>
        </is>
      </c>
      <c r="C15" s="13" t="inlineStr">
        <is>
          <t>Épica</t>
        </is>
      </c>
      <c r="D15" s="7" t="inlineStr">
        <is>
          <t>E1 — Núcleo de juego y movimiento</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16.2" customHeight="1">
      <c r="A18" s="13" t="inlineStr">
        <is>
          <t>Mutación (Entrega 2)</t>
        </is>
      </c>
      <c r="B18" s="35" t="inlineStr">
        <is>
          <t>Observación en el nivel 2 en lugar del 1 (solo clásicos al inicio), 60 s.</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Observar el desplazamiento de los cuatro fantasmas durante 60 segundos.</t>
        </is>
      </c>
      <c r="C21" s="14" t="n"/>
      <c r="D21" s="18" t="inlineStr">
        <is>
          <t>Ningún fantasma atraviesa un muro ni sale de los límites del mapa en ningún momento.</t>
        </is>
      </c>
      <c r="E21" s="14" t="n"/>
    </row>
    <row r="22" ht="24" customHeight="1">
      <c r="A22" s="21" t="inlineStr">
        <is>
          <t>El caso se aprueba solo si se cumple todo el resultado esperado del último paso (en negrita); si cualquier parte no se cumple, se registra como Fallido.</t>
        </is>
      </c>
    </row>
  </sheetData>
  <mergeCells count="23">
    <mergeCell ref="D20:E20"/>
    <mergeCell ref="B7:C7"/>
    <mergeCell ref="D1:E1"/>
    <mergeCell ref="B12:E13"/>
    <mergeCell ref="D21:E21"/>
    <mergeCell ref="B21:C21"/>
    <mergeCell ref="D2:E2"/>
    <mergeCell ref="A12:A13"/>
    <mergeCell ref="B8:C8"/>
    <mergeCell ref="A3:B3"/>
    <mergeCell ref="G1:L1"/>
    <mergeCell ref="D16:E16"/>
    <mergeCell ref="B18:E18"/>
    <mergeCell ref="D7:E7"/>
    <mergeCell ref="B10:C10"/>
    <mergeCell ref="D4:E4"/>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CP-011</t>
        </is>
      </c>
      <c r="C1" s="13" t="inlineStr">
        <is>
          <t>Descripción / Funcionalidad</t>
        </is>
      </c>
      <c r="D1" s="18" t="inlineStr">
        <is>
          <t>HU-03 · Consumir las esferas del mapa</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v>46294</v>
      </c>
      <c r="I3" s="11" t="inlineStr">
        <is>
          <t>Rodriguez Castro</t>
        </is>
      </c>
      <c r="J3" s="11" t="inlineStr">
        <is>
          <t>Aprobado</t>
        </is>
      </c>
      <c r="K3" s="11" t="inlineStr">
        <is>
          <t>Aprobado.</t>
        </is>
      </c>
      <c r="L3" s="11" t="n"/>
    </row>
    <row r="4" ht="55.8"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Esfera de (4,3): desapareció; puntaje 0 → 10 (+10); esferas restantes 105 → 104.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 puntaje 0.</t>
        </is>
      </c>
      <c r="C10" s="14" t="n"/>
      <c r="D10" s="18" t="inlineStr">
        <is>
          <t>Modo de juego:</t>
        </is>
      </c>
      <c r="E10" s="7" t="inlineStr">
        <is>
          <t>Pacman</t>
        </is>
      </c>
    </row>
    <row r="12">
      <c r="A12" s="13" t="inlineStr">
        <is>
          <t>Título del CP</t>
        </is>
      </c>
      <c r="B12" s="34" t="inlineStr">
        <is>
          <t>Consumo de una esfera común</t>
        </is>
      </c>
      <c r="C12" s="14" t="n"/>
      <c r="D12" s="14" t="n"/>
      <c r="E12" s="14" t="n"/>
    </row>
    <row r="13">
      <c r="A13" s="33" t="n"/>
      <c r="B13" s="14" t="n"/>
      <c r="C13" s="14" t="n"/>
      <c r="D13" s="14" t="n"/>
      <c r="E13" s="14" t="n"/>
    </row>
    <row r="15">
      <c r="A15" s="13" t="inlineStr">
        <is>
          <t>Historias de Usuario</t>
        </is>
      </c>
      <c r="B15" s="7" t="inlineStr">
        <is>
          <t>HU-03</t>
        </is>
      </c>
      <c r="C15" s="13" t="inlineStr">
        <is>
          <t>Épica</t>
        </is>
      </c>
      <c r="D15" s="7" t="inlineStr">
        <is>
          <t>E1 — Núcleo de juego y movimiento</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ht="16.2" customHeight="1">
      <c r="A18" s="13" t="inlineStr">
        <is>
          <t>Mutación (Entrega 2)</t>
        </is>
      </c>
      <c r="B18" s="35" t="inlineStr">
        <is>
          <t>Esfera común de otra fila (fila 4).</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Registrar el puntaje y el contador de esferas restantes.</t>
        </is>
      </c>
      <c r="C21" s="14" t="n"/>
      <c r="D21" s="7" t="inlineStr">
        <is>
          <t>Puntaje y contador de esferas anotados como valores de referencia.</t>
        </is>
      </c>
      <c r="E21" s="14" t="n"/>
    </row>
    <row r="22" ht="16.2" customHeight="1">
      <c r="A22" s="8" t="n">
        <v>2</v>
      </c>
      <c r="B22" s="7" t="inlineStr">
        <is>
          <t>Desplazar a Pacman sobre una esfera común.</t>
        </is>
      </c>
      <c r="C22" s="14" t="n"/>
      <c r="D22" s="7" t="inlineStr">
        <is>
          <t>Pacman pasa por la celda de la esfera.</t>
        </is>
      </c>
      <c r="E22" s="14" t="n"/>
    </row>
    <row r="23" ht="42.59999999999999" customHeight="1">
      <c r="A23" s="8" t="n">
        <v>3</v>
      </c>
      <c r="B23" s="7" t="inlineStr">
        <is>
          <t>Registrar ambos valores.</t>
        </is>
      </c>
      <c r="C23" s="14" t="n"/>
      <c r="D23" s="18" t="inlineStr">
        <is>
          <t>La esfera desaparece del mapa, el puntaje aumenta exactamente 10 y el contador de esferas restantes disminuye exactamente 1.</t>
        </is>
      </c>
      <c r="E23" s="1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CP-012</t>
        </is>
      </c>
      <c r="C1" s="13" t="inlineStr">
        <is>
          <t>Descripción / Funcionalidad</t>
        </is>
      </c>
      <c r="D1" s="18" t="inlineStr">
        <is>
          <t>HU-03 · Consumir las esferas del mapa</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69"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v>46294</v>
      </c>
      <c r="I3" s="11" t="inlineStr">
        <is>
          <t>Rodriguez Castro</t>
        </is>
      </c>
      <c r="J3" s="11" t="inlineStr">
        <is>
          <t>Aprobado</t>
        </is>
      </c>
      <c r="K3" s="11" t="inlineStr">
        <is>
          <t>Aprobado. En la corrida Pacman comió también la esfera grande de (1,1), por lo que la vida se perdió más tarde de lo previsto. La verificación posterior a la pérdida de vidas no se ve afectada.</t>
        </is>
      </c>
      <c r="L3" s="11" t="n"/>
    </row>
    <row r="4" ht="6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Pacman consumió 14 esferas en la fila 10; tras perder una vida (3 → 2) la fila sigue despejada (15 de 15 celdas sin esfera).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Adivinación de errores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t>
        </is>
      </c>
      <c r="C10" s="14" t="n"/>
      <c r="D10" s="18" t="inlineStr">
        <is>
          <t>Modo de juego:</t>
        </is>
      </c>
      <c r="E10" s="7" t="inlineStr">
        <is>
          <t>Pacman</t>
        </is>
      </c>
    </row>
    <row r="12">
      <c r="A12" s="13" t="inlineStr">
        <is>
          <t>Título del CP</t>
        </is>
      </c>
      <c r="B12" s="34" t="inlineStr">
        <is>
          <t>Una esfera consumida no reaparece al perder una vida</t>
        </is>
      </c>
      <c r="C12" s="14" t="n"/>
      <c r="D12" s="14" t="n"/>
      <c r="E12" s="14" t="n"/>
    </row>
    <row r="13">
      <c r="A13" s="33" t="n"/>
      <c r="B13" s="14" t="n"/>
      <c r="C13" s="14" t="n"/>
      <c r="D13" s="14" t="n"/>
      <c r="E13" s="14" t="n"/>
    </row>
    <row r="15">
      <c r="A15" s="13" t="inlineStr">
        <is>
          <t>Historias de Usuario</t>
        </is>
      </c>
      <c r="B15" s="7" t="inlineStr">
        <is>
          <t>HU-03</t>
        </is>
      </c>
      <c r="C15" s="13" t="inlineStr">
        <is>
          <t>Épica</t>
        </is>
      </c>
      <c r="D15" s="7" t="inlineStr">
        <is>
          <t>E1 — Núcleo de juego y movimiento</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16.2" customHeight="1">
      <c r="A18" s="13" t="inlineStr">
        <is>
          <t>Mutación (Entrega 2)</t>
        </is>
      </c>
      <c r="B18" s="35" t="inlineStr">
        <is>
          <t>15 esferas en lugar de 10, en la fila 10.</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Consumir al menos 10 esferas y registrar la zona despejada.</t>
        </is>
      </c>
      <c r="C21" s="14" t="n"/>
      <c r="D21" s="7" t="inlineStr">
        <is>
          <t>Contador disminuido en 10 y zona sin esferas identificada.</t>
        </is>
      </c>
      <c r="E21" s="14" t="n"/>
    </row>
    <row r="22" ht="29.4" customHeight="1">
      <c r="A22" s="8" t="n">
        <v>2</v>
      </c>
      <c r="B22" s="7" t="inlineStr">
        <is>
          <t>Dejar que un fantasma alcance a Pacman.</t>
        </is>
      </c>
      <c r="C22" s="14" t="n"/>
      <c r="D22" s="7" t="inlineStr">
        <is>
          <t>Se descuenta una vida y los personajes vuelven a su posición inicial.</t>
        </is>
      </c>
      <c r="E22" s="14" t="n"/>
    </row>
    <row r="23" ht="29.4" customHeight="1">
      <c r="A23" s="8" t="n">
        <v>3</v>
      </c>
      <c r="B23" s="7" t="inlineStr">
        <is>
          <t>Observar la zona despejada al reanudarse el nivel.</t>
        </is>
      </c>
      <c r="C23" s="14" t="n"/>
      <c r="D23" s="18" t="inlineStr">
        <is>
          <t>Las esferas consumidas antes de perder la vida siguen ausentes del mapa.</t>
        </is>
      </c>
      <c r="E23" s="1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CP-014</t>
        </is>
      </c>
      <c r="C1" s="13" t="inlineStr">
        <is>
          <t>Descripción / Funcionalidad</t>
        </is>
      </c>
      <c r="D1" s="18" t="inlineStr">
        <is>
          <t>HU-04 · Completar el nivel al consumir todas las esferas</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82.19999999999999"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v>46294</v>
      </c>
      <c r="I3" s="11" t="inlineStr">
        <is>
          <t>Rodriguez Castro</t>
        </is>
      </c>
      <c r="J3" s="11" t="inlineStr">
        <is>
          <t>Aprobado</t>
        </is>
      </c>
      <c r="K3" s="11" t="inlineStr">
        <is>
          <t>Aprobado. El puntaje cierra: 1770 + 50 de la esfera grande + 750 de bonus = 2570. El nivel se llevó hasta la última esfera con un piloto automático en la página que envía las teclas de flecha al juego, sin modificar su estado. Se repitió en una segunda corrida con igual resultado.</t>
        </is>
      </c>
      <c r="L3" s="11" t="n"/>
    </row>
    <row r="4" ht="55.8"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Al consumir la última esfera (13,5) el nivel se completó, la partida se detuvo y se mostró «¡Nivel 1 completado!» con el puntaje. (Mapa reducido a una esfera por script.)</t>
        </is>
      </c>
      <c r="L4" s="11" t="n"/>
    </row>
    <row r="5" ht="30" customHeight="1">
      <c r="A5" s="13" t="inlineStr">
        <is>
          <t>Prioridad (Alta, Media, Baja)</t>
        </is>
      </c>
      <c r="B5" s="18" t="inlineStr">
        <is>
          <t>Alta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Partida en curso (N1) con una sola esfera restante en el mapa.</t>
        </is>
      </c>
      <c r="C10" s="14" t="n"/>
      <c r="D10" s="18" t="inlineStr">
        <is>
          <t>Modo de juego:</t>
        </is>
      </c>
      <c r="E10" s="7" t="inlineStr">
        <is>
          <t>Pacman</t>
        </is>
      </c>
    </row>
    <row r="12">
      <c r="A12" s="13" t="inlineStr">
        <is>
          <t>Título del CP</t>
        </is>
      </c>
      <c r="B12" s="34" t="inlineStr">
        <is>
          <t>Finalización del nivel al consumir la última esfera</t>
        </is>
      </c>
      <c r="C12" s="14" t="n"/>
      <c r="D12" s="14" t="n"/>
      <c r="E12" s="14" t="n"/>
    </row>
    <row r="13">
      <c r="A13" s="33" t="n"/>
      <c r="B13" s="14" t="n"/>
      <c r="C13" s="14" t="n"/>
      <c r="D13" s="14" t="n"/>
      <c r="E13" s="14" t="n"/>
    </row>
    <row r="15">
      <c r="A15" s="13" t="inlineStr">
        <is>
          <t>Historias de Usuario</t>
        </is>
      </c>
      <c r="B15" s="7" t="inlineStr">
        <is>
          <t>HU-04</t>
        </is>
      </c>
      <c r="C15" s="13" t="inlineStr">
        <is>
          <t>Épica</t>
        </is>
      </c>
      <c r="D15" s="7" t="inlineStr">
        <is>
          <t>E1 — Núcleo de juego y movimiento</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ht="16.2" customHeight="1">
      <c r="A18" s="13" t="inlineStr">
        <is>
          <t>Mutación (Entrega 2)</t>
        </is>
      </c>
      <c r="B18" s="35" t="inlineStr">
        <is>
          <t>La última esfera es una de la fila 13.</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Consumir la última esfera.</t>
        </is>
      </c>
      <c r="C21" s="14" t="n"/>
      <c r="D21" s="18" t="inlineStr">
        <is>
          <t>El nivel se completa, la partida se detiene y se muestra el resultado del nivel con su puntaje.</t>
        </is>
      </c>
      <c r="E21" s="14" t="n"/>
    </row>
    <row r="22" ht="24" customHeight="1">
      <c r="A22" s="21" t="inlineStr">
        <is>
          <t>El caso se aprueba solo si se cumple todo el resultado esperado del último paso (en negrita); si cualquier parte no se cumple, se registra como Fallido.</t>
        </is>
      </c>
    </row>
  </sheetData>
  <mergeCells count="23">
    <mergeCell ref="D20:E20"/>
    <mergeCell ref="B7:C7"/>
    <mergeCell ref="D1:E1"/>
    <mergeCell ref="B12:E13"/>
    <mergeCell ref="D21:E21"/>
    <mergeCell ref="B21:C21"/>
    <mergeCell ref="D2:E2"/>
    <mergeCell ref="A12:A13"/>
    <mergeCell ref="B8:C8"/>
    <mergeCell ref="A3:B3"/>
    <mergeCell ref="G1:L1"/>
    <mergeCell ref="D16:E16"/>
    <mergeCell ref="B18:E18"/>
    <mergeCell ref="D7:E7"/>
    <mergeCell ref="B10:C10"/>
    <mergeCell ref="D4:E4"/>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CP-015</t>
        </is>
      </c>
      <c r="C1" s="13" t="inlineStr">
        <is>
          <t>Descripción / Funcionalidad</t>
        </is>
      </c>
      <c r="D1" s="18" t="inlineStr">
        <is>
          <t>HU-04 · Completar el nivel al consumir todas las esferas</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82.19999999999999"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v>46294</v>
      </c>
      <c r="I3" s="11" t="inlineStr">
        <is>
          <t>Rodriguez Castro</t>
        </is>
      </c>
      <c r="J3" s="11" t="inlineStr">
        <is>
          <t>Aprobado</t>
        </is>
      </c>
      <c r="K3" s="11" t="inlineStr">
        <is>
          <t>Aprobado. Al alcanzar el estado, el PowerUp de una esfera grande anterior seguía activo (terminó 1,9 s después); no afecta al resultado. Mismo resultado en dos corridas. Estado alcanzado con el piloto automático, que tenía prohibido comer esa esfera.</t>
        </is>
      </c>
      <c r="L3" s="11" t="n"/>
    </row>
    <row r="4" ht="42.5999999999999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Con solo la esfera grande de (13,15) sin consumir, el nivel no se completó y quedan 1 esferas; la partida sigue. (Mapa preparado por script.)</t>
        </is>
      </c>
      <c r="L4" s="11" t="n"/>
    </row>
    <row r="5" ht="30" customHeight="1">
      <c r="A5" s="13" t="inlineStr">
        <is>
          <t>Prioridad (Alta, Media, Baja)</t>
        </is>
      </c>
      <c r="B5" s="18" t="inlineStr">
        <is>
          <t>Alta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Partida en curso (N1) con todas las esferas comunes consumidas y una esfera grande sin consumir.</t>
        </is>
      </c>
      <c r="C10" s="14" t="n"/>
      <c r="D10" s="18" t="inlineStr">
        <is>
          <t>Modo de juego:</t>
        </is>
      </c>
      <c r="E10" s="7" t="inlineStr">
        <is>
          <t>Pacman</t>
        </is>
      </c>
    </row>
    <row r="12">
      <c r="A12" s="13" t="inlineStr">
        <is>
          <t>Título del CP</t>
        </is>
      </c>
      <c r="B12" s="34" t="inlineStr">
        <is>
          <t>El nivel no se completa si queda una esfera grande</t>
        </is>
      </c>
      <c r="C12" s="14" t="n"/>
      <c r="D12" s="14" t="n"/>
      <c r="E12" s="14" t="n"/>
    </row>
    <row r="13">
      <c r="A13" s="33" t="n"/>
      <c r="B13" s="14" t="n"/>
      <c r="C13" s="14" t="n"/>
      <c r="D13" s="14" t="n"/>
      <c r="E13" s="14" t="n"/>
    </row>
    <row r="15">
      <c r="A15" s="13" t="inlineStr">
        <is>
          <t>Historias de Usuario</t>
        </is>
      </c>
      <c r="B15" s="7" t="inlineStr">
        <is>
          <t>HU-04</t>
        </is>
      </c>
      <c r="C15" s="13" t="inlineStr">
        <is>
          <t>Épica</t>
        </is>
      </c>
      <c r="D15" s="7" t="inlineStr">
        <is>
          <t>E1 — Núcleo de juego y movimiento</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16.2" customHeight="1">
      <c r="A18" s="13" t="inlineStr">
        <is>
          <t>Mutación (Entrega 2)</t>
        </is>
      </c>
      <c r="B18" s="35" t="inlineStr">
        <is>
          <t>La esfera grande pendiente es la de (13,15) en lugar de la de (1,1).</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Observar el estado de la partida.</t>
        </is>
      </c>
      <c r="C21" s="14" t="n"/>
      <c r="D21" s="7" t="inlineStr">
        <is>
          <t>La partida sigue en curso: el nivel no se da por completado.</t>
        </is>
      </c>
      <c r="E21" s="14" t="n"/>
    </row>
    <row r="22" ht="29.4" customHeight="1">
      <c r="A22" s="8" t="n">
        <v>2</v>
      </c>
      <c r="B22" s="7" t="inlineStr">
        <is>
          <t>Verificar el contador de esferas restantes.</t>
        </is>
      </c>
      <c r="C22" s="14" t="n"/>
      <c r="D22" s="18" t="inlineStr">
        <is>
          <t>El nivel no se completa y el contador indica 1 esfera restante. La partida continúa.</t>
        </is>
      </c>
      <c r="E22" s="1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CP-016</t>
        </is>
      </c>
      <c r="C1" s="13" t="inlineStr">
        <is>
          <t>Descripción / Funcionalidad</t>
        </is>
      </c>
      <c r="D1" s="18" t="inlineStr">
        <is>
          <t>HU-04 · Completar el nivel al consumir todas las esferas</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82.19999999999999"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v>46294</v>
      </c>
      <c r="I3" s="11" t="inlineStr">
        <is>
          <t>Rodriguez Castro</t>
        </is>
      </c>
      <c r="J3" s="11" t="inlineStr">
        <is>
          <t>Aprobado</t>
        </is>
      </c>
      <c r="K3" s="11" t="inlineStr">
        <is>
          <t>Aprobado. La vida se perdió a propósito tras CP-015 para cumplir el prerrequisito de 2 vidas. Observación para E4: en el nivel 2 los fantasmas arrancan en celdas contiguas a Pacman ((7,7), (7,9), (8,6), (8,10)) y los cuatro figuran como clásicos; revisar en CP-047 a CP-053.</t>
        </is>
      </c>
      <c r="L3" s="11" t="n"/>
    </row>
    <row r="4" ht="42.5999999999999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Completado el nivel 1 con 3 vidas y 1200 puntos: empezó el nivel 2 con 1200 puntos y 3 vidas. (Mapa reducido por script.)</t>
        </is>
      </c>
      <c r="L4" s="11" t="n"/>
    </row>
    <row r="5" ht="30" customHeight="1">
      <c r="A5" s="13" t="inlineStr">
        <is>
          <t>Prioridad (Alta, Media, Baja)</t>
        </is>
      </c>
      <c r="B5" s="18" t="inlineStr">
        <is>
          <t>Alta</t>
        </is>
      </c>
      <c r="C5" s="13" t="inlineStr">
        <is>
          <t>Técnica de diseño</t>
        </is>
      </c>
      <c r="D5" s="7" t="inlineStr">
        <is>
          <t>Transición de estados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Partida en curso (N1) próxima a completarse, con 2 vidas restantes y puntaje registrado.</t>
        </is>
      </c>
      <c r="C10" s="14" t="n"/>
      <c r="D10" s="18" t="inlineStr">
        <is>
          <t>Modo de juego:</t>
        </is>
      </c>
      <c r="E10" s="7" t="inlineStr">
        <is>
          <t>Pacman</t>
        </is>
      </c>
    </row>
    <row r="12">
      <c r="A12" s="13" t="inlineStr">
        <is>
          <t>Título del CP</t>
        </is>
      </c>
      <c r="B12" s="34" t="inlineStr">
        <is>
          <t>Paso al nivel siguiente conservando puntaje y vidas</t>
        </is>
      </c>
      <c r="C12" s="14" t="n"/>
      <c r="D12" s="14" t="n"/>
      <c r="E12" s="14" t="n"/>
    </row>
    <row r="13">
      <c r="A13" s="33" t="n"/>
      <c r="B13" s="14" t="n"/>
      <c r="C13" s="14" t="n"/>
      <c r="D13" s="14" t="n"/>
      <c r="E13" s="14" t="n"/>
    </row>
    <row r="15">
      <c r="A15" s="13" t="inlineStr">
        <is>
          <t>Historias de Usuario</t>
        </is>
      </c>
      <c r="B15" s="7" t="inlineStr">
        <is>
          <t>HU-04</t>
        </is>
      </c>
      <c r="C15" s="13" t="inlineStr">
        <is>
          <t>Épica</t>
        </is>
      </c>
      <c r="D15" s="7" t="inlineStr">
        <is>
          <t>E1 — Núcleo de juego y movimiento</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ht="16.2" customHeight="1">
      <c r="A18" s="13" t="inlineStr">
        <is>
          <t>Mutación (Entrega 2)</t>
        </is>
      </c>
      <c r="B18" s="35" t="inlineStr">
        <is>
          <t>Se completa el nivel con 3 vidas en lugar de 2.</t>
        </is>
      </c>
      <c r="C18" s="36" t="n"/>
      <c r="D18" s="36" t="n"/>
      <c r="E18" s="36" t="n"/>
    </row>
    <row r="20">
      <c r="A20" s="13" t="inlineStr">
        <is>
          <t>Pasos #</t>
        </is>
      </c>
      <c r="B20" s="13" t="inlineStr">
        <is>
          <t>Detalle de pasos</t>
        </is>
      </c>
      <c r="C20" s="33" t="n"/>
      <c r="D20" s="13" t="inlineStr">
        <is>
          <t>Resultado esperado</t>
        </is>
      </c>
      <c r="E20" s="33" t="n"/>
    </row>
    <row r="21" ht="16.2" customHeight="1">
      <c r="A21" s="8" t="n">
        <v>1</v>
      </c>
      <c r="B21" s="7" t="inlineStr">
        <is>
          <t>Registrar puntaje y vidas.</t>
        </is>
      </c>
      <c r="C21" s="14" t="n"/>
      <c r="D21" s="7" t="inlineStr">
        <is>
          <t>Puntaje y vidas anotados como valores de referencia.</t>
        </is>
      </c>
      <c r="E21" s="14" t="n"/>
    </row>
    <row r="22" ht="16.2" customHeight="1">
      <c r="A22" s="8" t="n">
        <v>2</v>
      </c>
      <c r="B22" s="7" t="inlineStr">
        <is>
          <t>Completar el nivel 1.</t>
        </is>
      </c>
      <c r="C22" s="14" t="n"/>
      <c r="D22" s="7" t="inlineStr">
        <is>
          <t>Se muestra el resultado del nivel 1 con su puntaje.</t>
        </is>
      </c>
      <c r="E22" s="14" t="n"/>
    </row>
    <row r="23" ht="29.4" customHeight="1">
      <c r="A23" s="8" t="n">
        <v>3</v>
      </c>
      <c r="B23" s="7" t="inlineStr">
        <is>
          <t>Registrar puntaje, vidas y número de nivel.</t>
        </is>
      </c>
      <c r="C23" s="14" t="n"/>
      <c r="D23" s="18" t="inlineStr">
        <is>
          <t>Se inicia el nivel 2, el puntaje acumulado se conserva y el contador de vidas sigue en 2.</t>
        </is>
      </c>
      <c r="E23" s="1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CP-017</t>
        </is>
      </c>
      <c r="C1" s="13" t="inlineStr">
        <is>
          <t>Descripción / Funcionalidad</t>
        </is>
      </c>
      <c r="D1" s="18" t="inlineStr">
        <is>
          <t>HU-04 · Completar el nivel al consumir todas las esferas</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95.39999999999999"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v>46294</v>
      </c>
      <c r="I3" s="11" t="inlineStr">
        <is>
          <t>Rodriguez Castro</t>
        </is>
      </c>
      <c r="J3" s="11" t="inlineStr">
        <is>
          <t>Aprobado</t>
        </is>
      </c>
      <c r="K3" s="11" t="inlineStr">
        <is>
          <t>Aprobado. Partida completa N1 → N2 → N3 en una sola corrida, jugada con el piloto automático (envía teclas de flecha, no modifica el estado). Terminó con 2 vidas (una perdida en N2). El total coincide con la suma del desglose. En N2 los 4 fantasmas fueron clásicos y en N3 los 4 fueron espectros (velocidad 3,5, atraviesan muros).</t>
        </is>
      </c>
      <c r="L3" s="11" t="n"/>
    </row>
    <row r="4" ht="6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Partida N1 → N2 → N3; en el nivel 3 los fantasmas fueron ['specter', 'jumper', 'naval', 'accelerated']; al consumir la última esfera se mostró «¡Nivel 3 completado!» y luego «¡Victoria!» con el puntaje final. (Mapas reducidos por script.)</t>
        </is>
      </c>
      <c r="L4" s="11" t="n"/>
    </row>
    <row r="5" ht="30" customHeight="1">
      <c r="A5" s="13" t="inlineStr">
        <is>
          <t>Prioridad (Alta, Media, Baja)</t>
        </is>
      </c>
      <c r="B5" s="18" t="inlineStr">
        <is>
          <t>Alta</t>
        </is>
      </c>
      <c r="C5" s="13" t="inlineStr">
        <is>
          <t>Técnica de diseño</t>
        </is>
      </c>
      <c r="D5" s="7" t="inlineStr">
        <is>
          <t>Transición de estados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Partida en curso en el nivel 3, próxima a completarse.</t>
        </is>
      </c>
      <c r="C10" s="14" t="n"/>
      <c r="D10" s="18" t="inlineStr">
        <is>
          <t>Modo de juego:</t>
        </is>
      </c>
      <c r="E10" s="7" t="inlineStr">
        <is>
          <t>Pacman</t>
        </is>
      </c>
    </row>
    <row r="12">
      <c r="A12" s="13" t="inlineStr">
        <is>
          <t>Título del CP</t>
        </is>
      </c>
      <c r="B12" s="34" t="inlineStr">
        <is>
          <t>Victoria al completar el nivel 3</t>
        </is>
      </c>
      <c r="C12" s="14" t="n"/>
      <c r="D12" s="14" t="n"/>
      <c r="E12" s="14" t="n"/>
    </row>
    <row r="13">
      <c r="A13" s="33" t="n"/>
      <c r="B13" s="14" t="n"/>
      <c r="C13" s="14" t="n"/>
      <c r="D13" s="14" t="n"/>
      <c r="E13" s="14" t="n"/>
    </row>
    <row r="15">
      <c r="A15" s="13" t="inlineStr">
        <is>
          <t>Historias de Usuario</t>
        </is>
      </c>
      <c r="B15" s="7" t="inlineStr">
        <is>
          <t>HU-04</t>
        </is>
      </c>
      <c r="C15" s="13" t="inlineStr">
        <is>
          <t>Épica</t>
        </is>
      </c>
      <c r="D15" s="7" t="inlineStr">
        <is>
          <t>E1 — Núcleo de juego y movimiento</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ht="16.2" customHeight="1">
      <c r="A18" s="13" t="inlineStr">
        <is>
          <t>Mutación (Entrega 2)</t>
        </is>
      </c>
      <c r="B18" s="35" t="inlineStr">
        <is>
          <t>Partida completa N1 → N2 → N3 con los fantasmas nuevos de la V2.</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Consumir la última esfera del nivel 3.</t>
        </is>
      </c>
      <c r="C21" s="14" t="n"/>
      <c r="D21" s="18" t="inlineStr">
        <is>
          <t>La partida termina en victoria y se muestra la pantalla de Victoria con el puntaje final.</t>
        </is>
      </c>
      <c r="E21" s="14" t="n"/>
    </row>
    <row r="22" ht="24" customHeight="1">
      <c r="A22" s="21" t="inlineStr">
        <is>
          <t>El caso se aprueba solo si se cumple todo el resultado esperado del último paso (en negrita); si cualquier parte no se cumple, se registra como Fallido.</t>
        </is>
      </c>
    </row>
  </sheetData>
  <mergeCells count="23">
    <mergeCell ref="D20:E20"/>
    <mergeCell ref="B7:C7"/>
    <mergeCell ref="D1:E1"/>
    <mergeCell ref="B12:E13"/>
    <mergeCell ref="D21:E21"/>
    <mergeCell ref="B21:C21"/>
    <mergeCell ref="D2:E2"/>
    <mergeCell ref="A12:A13"/>
    <mergeCell ref="B8:C8"/>
    <mergeCell ref="A3:B3"/>
    <mergeCell ref="G1:L1"/>
    <mergeCell ref="D16:E16"/>
    <mergeCell ref="B18:E18"/>
    <mergeCell ref="D7:E7"/>
    <mergeCell ref="B10:C10"/>
    <mergeCell ref="D4:E4"/>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CP-018</t>
        </is>
      </c>
      <c r="C1" s="13" t="inlineStr">
        <is>
          <t>Descripción / Funcionalidad</t>
        </is>
      </c>
      <c r="D1" s="18" t="inlineStr">
        <is>
          <t>HU-05 · Obtener el PowerUp al consumir una esfera grande</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v>46294</v>
      </c>
      <c r="I3" s="11" t="inlineStr">
        <is>
          <t>Rodriguez Castro</t>
        </is>
      </c>
      <c r="J3" s="11" t="inlineStr">
        <is>
          <t>Aprobado</t>
        </is>
      </c>
      <c r="K3" s="11" t="inlineStr">
        <is>
          <t>Aprobado. Alejamiento medido en la misma corrida (ver CP-020).</t>
        </is>
      </c>
      <c r="L3" s="11" t="n"/>
    </row>
    <row r="4" ht="6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Al pasar por (13,1) el PowerUp se activó solo; puntaje +50; los fantasmas cambiaron al diseño vulnerable y se alejaron (suma de distancias 48 → 76). (Fantasmas ubicados en el centro por script.)</t>
        </is>
      </c>
      <c r="L4" s="11" t="n"/>
    </row>
    <row r="5" ht="30" customHeight="1">
      <c r="A5" s="13" t="inlineStr">
        <is>
          <t>Prioridad (Alta, Media, Baja)</t>
        </is>
      </c>
      <c r="B5" s="18" t="inlineStr">
        <is>
          <t>Alta</t>
        </is>
      </c>
      <c r="C5" s="13" t="inlineStr">
        <is>
          <t>Técnica de diseño</t>
        </is>
      </c>
      <c r="D5" s="7" t="inlineStr">
        <is>
          <t>Transición de estados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 sin PowerUp activo.</t>
        </is>
      </c>
      <c r="C10" s="14" t="n"/>
      <c r="D10" s="18" t="inlineStr">
        <is>
          <t>Modo de juego:</t>
        </is>
      </c>
      <c r="E10" s="7" t="inlineStr">
        <is>
          <t>Pacman</t>
        </is>
      </c>
    </row>
    <row r="12">
      <c r="A12" s="13" t="inlineStr">
        <is>
          <t>Título del CP</t>
        </is>
      </c>
      <c r="B12" s="34" t="inlineStr">
        <is>
          <t>Activación automática del PowerUp</t>
        </is>
      </c>
      <c r="C12" s="14" t="n"/>
      <c r="D12" s="14" t="n"/>
      <c r="E12" s="14" t="n"/>
    </row>
    <row r="13">
      <c r="A13" s="33" t="n"/>
      <c r="B13" s="14" t="n"/>
      <c r="C13" s="14" t="n"/>
      <c r="D13" s="14" t="n"/>
      <c r="E13" s="14" t="n"/>
    </row>
    <row r="15">
      <c r="A15" s="13" t="inlineStr">
        <is>
          <t>Historias de Usuario</t>
        </is>
      </c>
      <c r="B15" s="7" t="inlineStr">
        <is>
          <t>HU-05</t>
        </is>
      </c>
      <c r="C15" s="13" t="inlineStr">
        <is>
          <t>Épica</t>
        </is>
      </c>
      <c r="D15" s="7" t="inlineStr">
        <is>
          <t>E2 — PowerUp e interacción con fantasmas</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ht="16.2" customHeight="1">
      <c r="A18" s="13" t="inlineStr">
        <is>
          <t>Mutación (Entrega 2)</t>
        </is>
      </c>
      <c r="B18" s="35" t="inlineStr">
        <is>
          <t>Esfera grande de (13,1).</t>
        </is>
      </c>
      <c r="C18" s="36" t="n"/>
      <c r="D18" s="36" t="n"/>
      <c r="E18" s="36" t="n"/>
    </row>
    <row r="20">
      <c r="A20" s="13" t="inlineStr">
        <is>
          <t>Pasos #</t>
        </is>
      </c>
      <c r="B20" s="13" t="inlineStr">
        <is>
          <t>Detalle de pasos</t>
        </is>
      </c>
      <c r="C20" s="33" t="n"/>
      <c r="D20" s="13" t="inlineStr">
        <is>
          <t>Resultado esperado</t>
        </is>
      </c>
      <c r="E20" s="33" t="n"/>
    </row>
    <row r="21" ht="16.2" customHeight="1">
      <c r="A21" s="8" t="n">
        <v>1</v>
      </c>
      <c r="B21" s="7" t="inlineStr">
        <is>
          <t>Registrar el puntaje.</t>
        </is>
      </c>
      <c r="C21" s="14" t="n"/>
      <c r="D21" s="7" t="inlineStr">
        <is>
          <t>Puntaje anotado como valor de referencia.</t>
        </is>
      </c>
      <c r="E21" s="14" t="n"/>
    </row>
    <row r="22" ht="42.59999999999999" customHeight="1">
      <c r="A22" s="8" t="n">
        <v>2</v>
      </c>
      <c r="B22" s="7" t="inlineStr">
        <is>
          <t>Consumir una esfera grande sin presionar ninguna otra tecla.</t>
        </is>
      </c>
      <c r="C22" s="14" t="n"/>
      <c r="D22" s="18" t="inlineStr">
        <is>
          <t>El PowerUp se activa de inmediato sin intervención del jugador, el puntaje aumenta exactamente 50, los fantasmas cambian su diseño y se alejan de Pacman.</t>
        </is>
      </c>
      <c r="E22" s="1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7.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CP-019</t>
        </is>
      </c>
      <c r="C1" s="13" t="inlineStr">
        <is>
          <t>Descripción / Funcionalidad</t>
        </is>
      </c>
      <c r="D1" s="18" t="inlineStr">
        <is>
          <t>HU-05 · Obtener el PowerUp al consumir una esfera grande</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v>46294</v>
      </c>
      <c r="I3" s="11" t="inlineStr">
        <is>
          <t>Rodriguez Castro</t>
        </is>
      </c>
      <c r="J3" s="11" t="inlineStr">
        <is>
          <t>Aprobado</t>
        </is>
      </c>
      <c r="K3" s="11" t="inlineStr">
        <is>
          <t>Aprobado. Tiempos en tiempo de juego, sin contar las pausas usadas para las capturas.</t>
        </is>
      </c>
      <c r="L3" s="11" t="n"/>
    </row>
    <row r="4" ht="55.8"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Esfera grande de (1,15): a los 7,5 s los fantasmas seguían vulnerables; a los 8,5 s recuperaron su diseño y volvieron a perseguir. Duración: 8 s.</t>
        </is>
      </c>
      <c r="L4" s="11" t="n"/>
    </row>
    <row r="5" ht="30" customHeight="1">
      <c r="A5" s="13" t="inlineStr">
        <is>
          <t>Prioridad (Alta, Media, Baja)</t>
        </is>
      </c>
      <c r="B5" s="18" t="inlineStr">
        <is>
          <t>Alta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t>
        </is>
      </c>
      <c r="C10" s="14" t="n"/>
      <c r="D10" s="18" t="inlineStr">
        <is>
          <t>Modo de juego:</t>
        </is>
      </c>
      <c r="E10" s="7" t="inlineStr">
        <is>
          <t>Pacman</t>
        </is>
      </c>
    </row>
    <row r="12">
      <c r="A12" s="13" t="inlineStr">
        <is>
          <t>Título del CP</t>
        </is>
      </c>
      <c r="B12" s="34" t="inlineStr">
        <is>
          <t>Duración del PowerUp</t>
        </is>
      </c>
      <c r="C12" s="14" t="n"/>
      <c r="D12" s="14" t="n"/>
      <c r="E12" s="14" t="n"/>
    </row>
    <row r="13">
      <c r="A13" s="33" t="n"/>
      <c r="B13" s="14" t="n"/>
      <c r="C13" s="14" t="n"/>
      <c r="D13" s="14" t="n"/>
      <c r="E13" s="14" t="n"/>
    </row>
    <row r="15">
      <c r="A15" s="13" t="inlineStr">
        <is>
          <t>Historias de Usuario</t>
        </is>
      </c>
      <c r="B15" s="7" t="inlineStr">
        <is>
          <t>HU-05</t>
        </is>
      </c>
      <c r="C15" s="13" t="inlineStr">
        <is>
          <t>Épica</t>
        </is>
      </c>
      <c r="D15" s="7" t="inlineStr">
        <is>
          <t>E2 — PowerUp e interacción con fantasmas</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16.2" customHeight="1">
      <c r="A18" s="13" t="inlineStr">
        <is>
          <t>Mutación (Entrega 2)</t>
        </is>
      </c>
      <c r="B18" s="35" t="inlineStr">
        <is>
          <t>Esfera grande de (1,15); observaciones a 7,5 s y 8,5 s.</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Consumir una esfera grande y cronometrar desde ese instante.</t>
        </is>
      </c>
      <c r="C21" s="14" t="n"/>
      <c r="D21" s="7" t="inlineStr">
        <is>
          <t>El PowerUp se activa y los fantasmas cambian a su diseño vulnerable.</t>
        </is>
      </c>
      <c r="E21" s="14" t="n"/>
    </row>
    <row r="22" ht="29.4" customHeight="1">
      <c r="A22" s="8" t="n">
        <v>2</v>
      </c>
      <c r="B22" s="7" t="inlineStr">
        <is>
          <t>Observar el estado de los fantasmas a los 7 segundos.</t>
        </is>
      </c>
      <c r="C22" s="14" t="n"/>
      <c r="D22" s="7" t="inlineStr">
        <is>
          <t>A los 7 segundos los fantasmas siguen vulnerables (parpadeando).</t>
        </is>
      </c>
      <c r="E22" s="14" t="n"/>
    </row>
    <row r="23" ht="55.8" customHeight="1">
      <c r="A23" s="8" t="n">
        <v>3</v>
      </c>
      <c r="B23" s="7" t="inlineStr">
        <is>
          <t>Observarlo a los 9 segundos.</t>
        </is>
      </c>
      <c r="C23" s="14" t="n"/>
      <c r="D23" s="18" t="inlineStr">
        <is>
          <t>A los 7 segundos los fantasmas siguen en estado vulnerable; a los 9 segundos recuperaron su diseño normal y volvieron a perseguir a Pacman. La duración total es de 8 segundos.</t>
        </is>
      </c>
      <c r="E23" s="1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8.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CP-020</t>
        </is>
      </c>
      <c r="C1" s="13" t="inlineStr">
        <is>
          <t>Descripción / Funcionalidad</t>
        </is>
      </c>
      <c r="D1" s="18" t="inlineStr">
        <is>
          <t>HU-05 · Obtener el PowerUp al consumir una esfera grande</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69"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v>46294</v>
      </c>
      <c r="I3" s="11" t="inlineStr">
        <is>
          <t>Rodriguez Castro</t>
        </is>
      </c>
      <c r="J3" s="11" t="inlineStr">
        <is>
          <t>Aprobado</t>
        </is>
      </c>
      <c r="K3" s="11" t="inlineStr">
        <is>
          <t>Aprobado. Según el código del juego, un fantasma vulnerable huye hacia un punto opuesto a Pacman. Observación: los fantasmas se mueven de a pares superpuestos (rojo/celeste y rosa/naranja) porque todos persiguen exactamente a Pacman.</t>
        </is>
      </c>
      <c r="L3" s="11" t="n"/>
    </row>
    <row r="4" ht="6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El fantasma rosa venía hacia Pacman por la fila 4; al consumir la esfera grande dejó de acercarse y se alejó (distancia 2 → 7 celdas).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Adivinación de errores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Partida en curso (N1), un fantasma persiguiendo a Pacman a corta distancia.</t>
        </is>
      </c>
      <c r="C10" s="14" t="n"/>
      <c r="D10" s="18" t="inlineStr">
        <is>
          <t>Modo de juego:</t>
        </is>
      </c>
      <c r="E10" s="7" t="inlineStr">
        <is>
          <t>Pacman</t>
        </is>
      </c>
    </row>
    <row r="12">
      <c r="A12" s="13" t="inlineStr">
        <is>
          <t>Título del CP</t>
        </is>
      </c>
      <c r="B12" s="34" t="inlineStr">
        <is>
          <t>Los fantasmas huyen durante el PowerUp</t>
        </is>
      </c>
      <c r="C12" s="14" t="n"/>
      <c r="D12" s="14" t="n"/>
      <c r="E12" s="14" t="n"/>
    </row>
    <row r="13">
      <c r="A13" s="33" t="n"/>
      <c r="B13" s="14" t="n"/>
      <c r="C13" s="14" t="n"/>
      <c r="D13" s="14" t="n"/>
      <c r="E13" s="14" t="n"/>
    </row>
    <row r="15">
      <c r="A15" s="13" t="inlineStr">
        <is>
          <t>Historias de Usuario</t>
        </is>
      </c>
      <c r="B15" s="7" t="inlineStr">
        <is>
          <t>HU-05</t>
        </is>
      </c>
      <c r="C15" s="13" t="inlineStr">
        <is>
          <t>Épica</t>
        </is>
      </c>
      <c r="D15" s="7" t="inlineStr">
        <is>
          <t>E2 — PowerUp e interacción con fantasmas</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16.2" customHeight="1">
      <c r="A18" s="13" t="inlineStr">
        <is>
          <t>Mutación (Entrega 2)</t>
        </is>
      </c>
      <c r="B18" s="35" t="inlineStr">
        <is>
          <t>Fantasma perseguidor distinto (el rosa).</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Consumir una esfera grande.</t>
        </is>
      </c>
      <c r="C21" s="14" t="n"/>
      <c r="D21" s="7" t="inlineStr">
        <is>
          <t>El PowerUp se activa y los fantasmas cambian a su diseño vulnerable.</t>
        </is>
      </c>
      <c r="E21" s="14" t="n"/>
    </row>
    <row r="22" ht="29.4" customHeight="1">
      <c r="A22" s="8" t="n">
        <v>2</v>
      </c>
      <c r="B22" s="7" t="inlineStr">
        <is>
          <t>Observar la trayectoria del fantasma que perseguía a Pacman.</t>
        </is>
      </c>
      <c r="C22" s="14" t="n"/>
      <c r="D22" s="18" t="inlineStr">
        <is>
          <t>El fantasma deja de acercarse a Pacman y se desplaza alejándose de él.</t>
        </is>
      </c>
      <c r="E22" s="1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9.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CP-023</t>
        </is>
      </c>
      <c r="C1" s="13" t="inlineStr">
        <is>
          <t>Descripción / Funcionalidad</t>
        </is>
      </c>
      <c r="D1" s="18" t="inlineStr">
        <is>
          <t>HU-06 · Comer fantasmas durante el PowerUp</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82.19999999999999"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v>46294</v>
      </c>
      <c r="I3" s="11" t="inlineStr">
        <is>
          <t>Rodriguez Castro</t>
        </is>
      </c>
      <c r="J3" s="11" t="inlineStr">
        <is>
          <t>Aprobado</t>
        </is>
      </c>
      <c r="K3" s="11" t="inlineStr">
        <is>
          <t>Aprobado. Los fantasmas van superpuestos de a pares y se comen dos en el mismo cuadro, por lo que no se pudo registrar el puntaje entre el 1.º y el 2.º, ni entre el 3.º y el 4.º. Los incrementos coinciden con la escala en orden. Ver observación de CP-020.</t>
        </is>
      </c>
      <c r="L3" s="11" t="n"/>
    </row>
    <row r="4" ht="55.8"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Con la esfera grande de (13,15), los cuatro fantasmas comidos sumaron [200, 400, 800, 1600].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Partida en curso (N1), cuatro fantasmas próximos a Pacman.</t>
        </is>
      </c>
      <c r="C10" s="14" t="n"/>
      <c r="D10" s="18" t="inlineStr">
        <is>
          <t>Modo de juego:</t>
        </is>
      </c>
      <c r="E10" s="7" t="inlineStr">
        <is>
          <t>Pacman</t>
        </is>
      </c>
    </row>
    <row r="12">
      <c r="A12" s="13" t="inlineStr">
        <is>
          <t>Título del CP</t>
        </is>
      </c>
      <c r="B12" s="34" t="inlineStr">
        <is>
          <t>Escala de puntos por fantasmas comidos</t>
        </is>
      </c>
      <c r="C12" s="14" t="n"/>
      <c r="D12" s="14" t="n"/>
      <c r="E12" s="14" t="n"/>
    </row>
    <row r="13">
      <c r="A13" s="33" t="n"/>
      <c r="B13" s="14" t="n"/>
      <c r="C13" s="14" t="n"/>
      <c r="D13" s="14" t="n"/>
      <c r="E13" s="14" t="n"/>
    </row>
    <row r="15">
      <c r="A15" s="13" t="inlineStr">
        <is>
          <t>Historias de Usuario</t>
        </is>
      </c>
      <c r="B15" s="7" t="inlineStr">
        <is>
          <t>HU-06</t>
        </is>
      </c>
      <c r="C15" s="13" t="inlineStr">
        <is>
          <t>Épica</t>
        </is>
      </c>
      <c r="D15" s="7" t="inlineStr">
        <is>
          <t>E2 — PowerUp e interacción con fantasmas</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ht="16.2" customHeight="1">
      <c r="A18" s="13" t="inlineStr">
        <is>
          <t>Mutación (Entrega 2)</t>
        </is>
      </c>
      <c r="B18" s="35" t="inlineStr">
        <is>
          <t>Se usa la esfera grande de (13,15).</t>
        </is>
      </c>
      <c r="C18" s="36" t="n"/>
      <c r="D18" s="36" t="n"/>
      <c r="E18" s="36" t="n"/>
    </row>
    <row r="20">
      <c r="A20" s="13" t="inlineStr">
        <is>
          <t>Pasos #</t>
        </is>
      </c>
      <c r="B20" s="13" t="inlineStr">
        <is>
          <t>Detalle de pasos</t>
        </is>
      </c>
      <c r="C20" s="33" t="n"/>
      <c r="D20" s="13" t="inlineStr">
        <is>
          <t>Resultado esperado</t>
        </is>
      </c>
      <c r="E20" s="33" t="n"/>
    </row>
    <row r="21" ht="16.2" customHeight="1">
      <c r="A21" s="8" t="n">
        <v>1</v>
      </c>
      <c r="B21" s="7" t="inlineStr">
        <is>
          <t>Consumir una esfera grande.</t>
        </is>
      </c>
      <c r="C21" s="14" t="n"/>
      <c r="D21" s="7" t="inlineStr">
        <is>
          <t>El PowerUp se activa.</t>
        </is>
      </c>
      <c r="E21" s="14" t="n"/>
    </row>
    <row r="22" ht="42.59999999999999" customHeight="1">
      <c r="A22" s="8" t="n">
        <v>2</v>
      </c>
      <c r="B22" s="7" t="inlineStr">
        <is>
          <t>Comer los cuatro fantasmas dentro de la duración del PowerUp, registrando el puntaje antes y después de cada uno.</t>
        </is>
      </c>
      <c r="C22" s="14" t="n"/>
      <c r="D22" s="18" t="inlineStr">
        <is>
          <t>Los incrementos de puntaje son exactamente 200, 400, 800 y 1600, en ese orden.</t>
        </is>
      </c>
      <c r="E22" s="1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0.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CP-024</t>
        </is>
      </c>
      <c r="C1" s="13" t="inlineStr">
        <is>
          <t>Descripción / Funcionalidad</t>
        </is>
      </c>
      <c r="D1" s="18" t="inlineStr">
        <is>
          <t>HU-06 · Comer fantasmas durante el PowerUp</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42.59999999999999"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v>46294</v>
      </c>
      <c r="I3" s="11" t="inlineStr">
        <is>
          <t>Rodriguez Castro</t>
        </is>
      </c>
      <c r="J3" s="11" t="inlineStr">
        <is>
          <t>Aprobado</t>
        </is>
      </c>
      <c r="K3" s="11" t="inlineStr">
        <is>
          <t>Aprobado. El primer fantasma del segundo PowerUp sumó 200. Ver observación de CP-022 sobre los pares superpuestos.</t>
        </is>
      </c>
      <c r="L3" s="11" t="n"/>
    </row>
    <row r="4" ht="6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Primer PowerUp (13,15): fantasma +200; terminado el PowerUp, segundo PowerUp con la esfera de (1,1): fantasma +200.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Transición de estados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t>
        </is>
      </c>
      <c r="C10" s="14" t="n"/>
      <c r="D10" s="18" t="inlineStr">
        <is>
          <t>Modo de juego:</t>
        </is>
      </c>
      <c r="E10" s="7" t="inlineStr">
        <is>
          <t>Pacman</t>
        </is>
      </c>
    </row>
    <row r="12">
      <c r="A12" s="13" t="inlineStr">
        <is>
          <t>Título del CP</t>
        </is>
      </c>
      <c r="B12" s="34" t="inlineStr">
        <is>
          <t>Reinicio de la escala al terminar el PowerUp</t>
        </is>
      </c>
      <c r="C12" s="14" t="n"/>
      <c r="D12" s="14" t="n"/>
      <c r="E12" s="14" t="n"/>
    </row>
    <row r="13">
      <c r="A13" s="33" t="n"/>
      <c r="B13" s="14" t="n"/>
      <c r="C13" s="14" t="n"/>
      <c r="D13" s="14" t="n"/>
      <c r="E13" s="14" t="n"/>
    </row>
    <row r="15">
      <c r="A15" s="13" t="inlineStr">
        <is>
          <t>Historias de Usuario</t>
        </is>
      </c>
      <c r="B15" s="7" t="inlineStr">
        <is>
          <t>HU-06</t>
        </is>
      </c>
      <c r="C15" s="13" t="inlineStr">
        <is>
          <t>Épica</t>
        </is>
      </c>
      <c r="D15" s="7" t="inlineStr">
        <is>
          <t>E2 — PowerUp e interacción con fantasmas</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16.2" customHeight="1">
      <c r="A18" s="13" t="inlineStr">
        <is>
          <t>Mutación (Entrega 2)</t>
        </is>
      </c>
      <c r="B18" s="35" t="inlineStr">
        <is>
          <t>Segundo PowerUp con una esfera grande distinta.</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Consumir una esfera grande y comer un fantasma (200 puntos).</t>
        </is>
      </c>
      <c r="C21" s="14" t="n"/>
      <c r="D21" s="7" t="inlineStr">
        <is>
          <t>El fantasma es comido y el puntaje aumenta 200.</t>
        </is>
      </c>
      <c r="E21" s="14" t="n"/>
    </row>
    <row r="22" ht="16.2" customHeight="1">
      <c r="A22" s="8" t="n">
        <v>2</v>
      </c>
      <c r="B22" s="7" t="inlineStr">
        <is>
          <t>Esperar a que el PowerUp termine.</t>
        </is>
      </c>
      <c r="C22" s="14" t="n"/>
      <c r="D22" s="7" t="inlineStr">
        <is>
          <t>Los fantasmas recuperan su diseño normal.</t>
        </is>
      </c>
      <c r="E22" s="14" t="n"/>
    </row>
    <row r="23" ht="29.4" customHeight="1">
      <c r="A23" s="8" t="n">
        <v>3</v>
      </c>
      <c r="B23" s="7" t="inlineStr">
        <is>
          <t>Consumir otra esfera grande y comer un fantasma, registrando el incremento.</t>
        </is>
      </c>
      <c r="C23" s="14" t="n"/>
      <c r="D23" s="18" t="inlineStr">
        <is>
          <t>El fantasma del paso 3 suma 200 puntos, no 400.</t>
        </is>
      </c>
      <c r="E23" s="1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1.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CP-025</t>
        </is>
      </c>
      <c r="C1" s="13" t="inlineStr">
        <is>
          <t>Descripción / Funcionalidad</t>
        </is>
      </c>
      <c r="D1" s="18" t="inlineStr">
        <is>
          <t>HU-06 · Comer fantasmas durante el PowerUp</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v>46294</v>
      </c>
      <c r="I3" s="11" t="inlineStr">
        <is>
          <t>Rodriguez Castro</t>
        </is>
      </c>
      <c r="J3" s="11" t="inlineStr">
        <is>
          <t>Aprobado</t>
        </is>
      </c>
      <c r="K3" s="11" t="inlineStr">
        <is>
          <t>Aprobado.</t>
        </is>
      </c>
      <c r="L3" s="11" t="n"/>
    </row>
    <row r="4" ht="55.8"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Con 2 vidas y PowerUp activo, el fantasma tocado desapareció; vidas 2 → 2; el nivel no se reinició (Pacman siguió en la fila 4). (Vidas fijadas en 2 por script.)</t>
        </is>
      </c>
      <c r="L4" s="11" t="n"/>
    </row>
    <row r="5" ht="30" customHeight="1">
      <c r="A5" s="13" t="inlineStr">
        <is>
          <t>Prioridad (Alta, Media, Baja)</t>
        </is>
      </c>
      <c r="B5" s="18" t="inlineStr">
        <is>
          <t>Alta</t>
        </is>
      </c>
      <c r="C5" s="13" t="inlineStr">
        <is>
          <t>Técnica de diseño</t>
        </is>
      </c>
      <c r="D5" s="7" t="inlineStr">
        <is>
          <t>Tabla de decisión</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 3 vidas, PowerUp activo.</t>
        </is>
      </c>
      <c r="C10" s="14" t="n"/>
      <c r="D10" s="18" t="inlineStr">
        <is>
          <t>Modo de juego:</t>
        </is>
      </c>
      <c r="E10" s="7" t="inlineStr">
        <is>
          <t>Pacman</t>
        </is>
      </c>
    </row>
    <row r="12">
      <c r="A12" s="13" t="inlineStr">
        <is>
          <t>Título del CP</t>
        </is>
      </c>
      <c r="B12" s="34" t="inlineStr">
        <is>
          <t>Comer un fantasma no descuenta vidas</t>
        </is>
      </c>
      <c r="C12" s="14" t="n"/>
      <c r="D12" s="14" t="n"/>
      <c r="E12" s="14" t="n"/>
    </row>
    <row r="13">
      <c r="A13" s="33" t="n"/>
      <c r="B13" s="14" t="n"/>
      <c r="C13" s="14" t="n"/>
      <c r="D13" s="14" t="n"/>
      <c r="E13" s="14" t="n"/>
    </row>
    <row r="15">
      <c r="A15" s="13" t="inlineStr">
        <is>
          <t>Historias de Usuario</t>
        </is>
      </c>
      <c r="B15" s="7" t="inlineStr">
        <is>
          <t>HU-06</t>
        </is>
      </c>
      <c r="C15" s="13" t="inlineStr">
        <is>
          <t>Épica</t>
        </is>
      </c>
      <c r="D15" s="7" t="inlineStr">
        <is>
          <t>E2 — PowerUp e interacción con fantasmas</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16.2" customHeight="1">
      <c r="A18" s="13" t="inlineStr">
        <is>
          <t>Mutación (Entrega 2)</t>
        </is>
      </c>
      <c r="B18" s="35" t="inlineStr">
        <is>
          <t>Con 2 vidas en lugar de 3.</t>
        </is>
      </c>
      <c r="C18" s="36" t="n"/>
      <c r="D18" s="36" t="n"/>
      <c r="E18" s="36" t="n"/>
    </row>
    <row r="20">
      <c r="A20" s="13" t="inlineStr">
        <is>
          <t>Pasos #</t>
        </is>
      </c>
      <c r="B20" s="13" t="inlineStr">
        <is>
          <t>Detalle de pasos</t>
        </is>
      </c>
      <c r="C20" s="33" t="n"/>
      <c r="D20" s="13" t="inlineStr">
        <is>
          <t>Resultado esperado</t>
        </is>
      </c>
      <c r="E20" s="33" t="n"/>
    </row>
    <row r="21" ht="16.2" customHeight="1">
      <c r="A21" s="8" t="n">
        <v>1</v>
      </c>
      <c r="B21" s="7" t="inlineStr">
        <is>
          <t>Registrar el contador de vidas.</t>
        </is>
      </c>
      <c r="C21" s="14" t="n"/>
      <c r="D21" s="7" t="inlineStr">
        <is>
          <t>Contador de vidas anotado como referencia.</t>
        </is>
      </c>
      <c r="E21" s="14" t="n"/>
    </row>
    <row r="22" ht="16.2" customHeight="1">
      <c r="A22" s="8" t="n">
        <v>2</v>
      </c>
      <c r="B22" s="7" t="inlineStr">
        <is>
          <t>Tocar un fantasma con el PowerUp activo.</t>
        </is>
      </c>
      <c r="C22" s="14" t="n"/>
      <c r="D22" s="7" t="inlineStr">
        <is>
          <t>El fantasma es comido y desaparece del mapa.</t>
        </is>
      </c>
      <c r="E22" s="14" t="n"/>
    </row>
    <row r="23" ht="29.4" customHeight="1">
      <c r="A23" s="8" t="n">
        <v>3</v>
      </c>
      <c r="B23" s="7" t="inlineStr">
        <is>
          <t>Registrar el contador de vidas.</t>
        </is>
      </c>
      <c r="C23" s="14" t="n"/>
      <c r="D23" s="18" t="inlineStr">
        <is>
          <t>El fantasma desaparece del mapa, el contador de vidas sigue en 3 y el nivel no se reinicia.</t>
        </is>
      </c>
      <c r="E23" s="1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2.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CP-030</t>
        </is>
      </c>
      <c r="C1" s="13" t="inlineStr">
        <is>
          <t>Descripción / Funcionalidad</t>
        </is>
      </c>
      <c r="D1" s="18" t="inlineStr">
        <is>
          <t>HU-08 · Perder una vida al ser alcanzado por un fantasma</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v>46294</v>
      </c>
      <c r="I3" s="11" t="inlineStr">
        <is>
          <t>Rodriguez Castro</t>
        </is>
      </c>
      <c r="J3" s="11" t="inlineStr">
        <is>
          <t>Aprobado</t>
        </is>
      </c>
      <c r="K3" s="11" t="inlineStr">
        <is>
          <t>Aprobado.</t>
        </is>
      </c>
      <c r="L3" s="11" t="n"/>
    </row>
    <row r="4" ht="6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Con 2 vidas, el contacto con el fantasma celeste dejó las vidas en 1; puntaje 10 → 10; Pacman volvió a (7,8) y los fantasmas a sus posiciones iniciales [[1, 1], [1, 15], [13, 1], [13, 15]]. (Vidas fijadas en 2 por script.)</t>
        </is>
      </c>
      <c r="L4" s="11" t="n"/>
    </row>
    <row r="5" ht="30" customHeight="1">
      <c r="A5" s="13" t="inlineStr">
        <is>
          <t>Prioridad (Alta, Media, Baja)</t>
        </is>
      </c>
      <c r="B5" s="18" t="inlineStr">
        <is>
          <t>Alta</t>
        </is>
      </c>
      <c r="C5" s="13" t="inlineStr">
        <is>
          <t>Técnica de diseño</t>
        </is>
      </c>
      <c r="D5" s="7" t="inlineStr">
        <is>
          <t>Tabla de decisión</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Partida en curso (N1), 3 vidas, sin PowerUp activo.</t>
        </is>
      </c>
      <c r="C10" s="14" t="n"/>
      <c r="D10" s="18" t="inlineStr">
        <is>
          <t>Modo de juego:</t>
        </is>
      </c>
      <c r="E10" s="7" t="inlineStr">
        <is>
          <t>Pacman</t>
        </is>
      </c>
    </row>
    <row r="12">
      <c r="A12" s="13" t="inlineStr">
        <is>
          <t>Título del CP</t>
        </is>
      </c>
      <c r="B12" s="34" t="inlineStr">
        <is>
          <t>Descuento de una vida por contacto con un fantasma</t>
        </is>
      </c>
      <c r="C12" s="14" t="n"/>
      <c r="D12" s="14" t="n"/>
      <c r="E12" s="14" t="n"/>
    </row>
    <row r="13">
      <c r="A13" s="33" t="n"/>
      <c r="B13" s="14" t="n"/>
      <c r="C13" s="14" t="n"/>
      <c r="D13" s="14" t="n"/>
      <c r="E13" s="14" t="n"/>
    </row>
    <row r="15">
      <c r="A15" s="13" t="inlineStr">
        <is>
          <t>Historias de Usuario</t>
        </is>
      </c>
      <c r="B15" s="7" t="inlineStr">
        <is>
          <t>HU-08</t>
        </is>
      </c>
      <c r="C15" s="13" t="inlineStr">
        <is>
          <t>Épica</t>
        </is>
      </c>
      <c r="D15" s="7" t="inlineStr">
        <is>
          <t>E2 — PowerUp e interacción con fantasmas</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ht="16.2" customHeight="1">
      <c r="A18" s="13" t="inlineStr">
        <is>
          <t>Mutación (Entrega 2)</t>
        </is>
      </c>
      <c r="B18" s="35" t="inlineStr">
        <is>
          <t>Con 2 vidas en lugar de 3, contacto con el fantasma celeste.</t>
        </is>
      </c>
      <c r="C18" s="36" t="n"/>
      <c r="D18" s="36" t="n"/>
      <c r="E18" s="36" t="n"/>
    </row>
    <row r="20">
      <c r="A20" s="13" t="inlineStr">
        <is>
          <t>Pasos #</t>
        </is>
      </c>
      <c r="B20" s="13" t="inlineStr">
        <is>
          <t>Detalle de pasos</t>
        </is>
      </c>
      <c r="C20" s="33" t="n"/>
      <c r="D20" s="13" t="inlineStr">
        <is>
          <t>Resultado esperado</t>
        </is>
      </c>
      <c r="E20" s="33" t="n"/>
    </row>
    <row r="21" ht="16.2" customHeight="1">
      <c r="A21" s="8" t="n">
        <v>1</v>
      </c>
      <c r="B21" s="7" t="inlineStr">
        <is>
          <t>Registrar el contador de vidas y el puntaje.</t>
        </is>
      </c>
      <c r="C21" s="14" t="n"/>
      <c r="D21" s="7" t="inlineStr">
        <is>
          <t>Vidas y puntaje anotados como valores de referencia.</t>
        </is>
      </c>
      <c r="E21" s="14" t="n"/>
    </row>
    <row r="22" ht="16.2" customHeight="1">
      <c r="A22" s="8" t="n">
        <v>2</v>
      </c>
      <c r="B22" s="7" t="inlineStr">
        <is>
          <t>Dejar que un fantasma alcance a Pacman.</t>
        </is>
      </c>
      <c r="C22" s="14" t="n"/>
      <c r="D22" s="7" t="inlineStr">
        <is>
          <t>Se produce el contacto entre Pacman y el fantasma.</t>
        </is>
      </c>
      <c r="E22" s="14" t="n"/>
    </row>
    <row r="23" ht="42.59999999999999" customHeight="1">
      <c r="A23" s="8" t="n">
        <v>3</v>
      </c>
      <c r="B23" s="7" t="inlineStr">
        <is>
          <t>Registrar ambos valores.</t>
        </is>
      </c>
      <c r="C23" s="14" t="n"/>
      <c r="D23" s="18" t="inlineStr">
        <is>
          <t>El contador de vidas baja a 2, el puntaje acumulado se conserva, y Pacman y los fantasmas vuelven a sus posiciones iniciales.</t>
        </is>
      </c>
      <c r="E23" s="1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3.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CP-031</t>
        </is>
      </c>
      <c r="C1" s="13" t="inlineStr">
        <is>
          <t>Descripción / Funcionalidad</t>
        </is>
      </c>
      <c r="D1" s="18" t="inlineStr">
        <is>
          <t>HU-08 · Perder una vida al ser alcanzado por un fantasma</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v>46294</v>
      </c>
      <c r="I3" s="11" t="inlineStr">
        <is>
          <t>Rodriguez Castro</t>
        </is>
      </c>
      <c r="J3" s="11" t="inlineStr">
        <is>
          <t>Aprobado</t>
        </is>
      </c>
      <c r="K3" s="11" t="inlineStr">
        <is>
          <t>Aprobado.</t>
        </is>
      </c>
      <c r="L3" s="11" t="n"/>
    </row>
    <row r="4" ht="55.8"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Contacto de frente en la columna 1 (Pacman subiendo, fantasma bajando): se descontó una sola vida (3 → 2).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Adivinación de errores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 3 vidas.</t>
        </is>
      </c>
      <c r="C10" s="14" t="n"/>
      <c r="D10" s="18" t="inlineStr">
        <is>
          <t>Modo de juego:</t>
        </is>
      </c>
      <c r="E10" s="7" t="inlineStr">
        <is>
          <t>Pacman</t>
        </is>
      </c>
    </row>
    <row r="12">
      <c r="A12" s="13" t="inlineStr">
        <is>
          <t>Título del CP</t>
        </is>
      </c>
      <c r="B12" s="34" t="inlineStr">
        <is>
          <t>Un solo contacto no descuenta más de una vida</t>
        </is>
      </c>
      <c r="C12" s="14" t="n"/>
      <c r="D12" s="14" t="n"/>
      <c r="E12" s="14" t="n"/>
    </row>
    <row r="13">
      <c r="A13" s="33" t="n"/>
      <c r="B13" s="14" t="n"/>
      <c r="C13" s="14" t="n"/>
      <c r="D13" s="14" t="n"/>
      <c r="E13" s="14" t="n"/>
    </row>
    <row r="15">
      <c r="A15" s="13" t="inlineStr">
        <is>
          <t>Historias de Usuario</t>
        </is>
      </c>
      <c r="B15" s="7" t="inlineStr">
        <is>
          <t>HU-08</t>
        </is>
      </c>
      <c r="C15" s="13" t="inlineStr">
        <is>
          <t>Épica</t>
        </is>
      </c>
      <c r="D15" s="7" t="inlineStr">
        <is>
          <t>E2 — PowerUp e interacción con fantasmas</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16.2" customHeight="1">
      <c r="A18" s="13" t="inlineStr">
        <is>
          <t>Mutación (Entrega 2)</t>
        </is>
      </c>
      <c r="B18" s="35" t="inlineStr">
        <is>
          <t>Contacto de frente en sentido vertical (columna 1).</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Dirigir a Pacman de frente contra un fantasma, sin cambiar de dirección durante el contacto.</t>
        </is>
      </c>
      <c r="C21" s="14" t="n"/>
      <c r="D21" s="7" t="inlineStr">
        <is>
          <t>Se produce un único contacto con el fantasma.</t>
        </is>
      </c>
      <c r="E21" s="14" t="n"/>
    </row>
    <row r="22" ht="29.4" customHeight="1">
      <c r="A22" s="8" t="n">
        <v>2</v>
      </c>
      <c r="B22" s="7" t="inlineStr">
        <is>
          <t>Registrar el contador de vidas inmediatamente después.</t>
        </is>
      </c>
      <c r="C22" s="14" t="n"/>
      <c r="D22" s="18" t="inlineStr">
        <is>
          <t>Se descuenta exactamente una vida. El contador queda en 2 y no en 1 ni en 0.</t>
        </is>
      </c>
      <c r="E22" s="1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4.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CP-032</t>
        </is>
      </c>
      <c r="C1" s="13" t="inlineStr">
        <is>
          <t>Descripción / Funcionalidad</t>
        </is>
      </c>
      <c r="D1" s="18" t="inlineStr">
        <is>
          <t>HU-08 · Perder una vida al ser alcanzado por un fantasma</t>
        </is>
      </c>
      <c r="E1" s="14" t="n"/>
      <c r="G1" s="30" t="inlineStr">
        <is>
          <t>Registro de ejecución</t>
        </is>
      </c>
      <c r="H1" s="5" t="n"/>
      <c r="I1" s="5" t="n"/>
      <c r="J1" s="5" t="n"/>
      <c r="K1" s="5" t="n"/>
      <c r="L1" s="5" t="n"/>
    </row>
    <row r="2">
      <c r="A2" s="13" t="inlineStr">
        <is>
          <t>Creado por</t>
        </is>
      </c>
      <c r="B2" s="18" t="inlineStr">
        <is>
          <t>Cruz, 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82.19999999999999"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v>46294</v>
      </c>
      <c r="I3" s="11" t="inlineStr">
        <is>
          <t>Rodriguez Castro</t>
        </is>
      </c>
      <c r="J3" s="11" t="inlineStr">
        <is>
          <t>Bloqueado</t>
        </is>
      </c>
      <c r="K3" s="11" t="inlineStr">
        <is>
          <t>Bloqueado: el prerrequisito no se puede alcanzar con las reglas del juego (verificado en la lógica del juego y en las corridas de CP-018 a CP-029). En la lógica, perder una vida sí cancela el PowerUp y quita la vulnerabilidad. Se sugiere revisar el diseño del caso con el equipo.</t>
        </is>
      </c>
      <c r="L3" s="11" t="n"/>
    </row>
    <row r="4" ht="95.39999999999999" customHeight="1">
      <c r="C4" s="13" t="inlineStr">
        <is>
          <t>Estado en la Entrega 1</t>
        </is>
      </c>
      <c r="D4" s="7" t="inlineStr">
        <is>
          <t>Bloqueado</t>
        </is>
      </c>
      <c r="E4" s="14" t="n"/>
      <c r="G4" s="9" t="inlineStr">
        <is>
          <t>Ciclo 2</t>
        </is>
      </c>
      <c r="H4" s="15" t="n">
        <v>46307</v>
      </c>
      <c r="I4" s="11" t="inlineStr">
        <is>
          <t>Luzzi</t>
        </is>
      </c>
      <c r="J4" s="11" t="inlineStr">
        <is>
          <t>Aprobado</t>
        </is>
      </c>
      <c r="K4" s="11" t="inlineStr">
        <is>
          <t>Con el PowerUp activo, un fantasma recién reaparecido (no vulnerable) alcanzó a Pacman: vidas 3 → 2; al reanudarse el nivel el PowerUp quedó cancelado y los fantasmas con su diseño normal. (Reaparición y contacto preparados por script; en la Entrega 1 quedó Bloqueado por no poder provocar la condición.)</t>
        </is>
      </c>
      <c r="L4" s="11" t="n"/>
    </row>
    <row r="5" ht="30" customHeight="1">
      <c r="A5" s="13" t="inlineStr">
        <is>
          <t>Prioridad (Alta, Media, Baja)</t>
        </is>
      </c>
      <c r="B5" s="18" t="inlineStr">
        <is>
          <t>Media</t>
        </is>
      </c>
      <c r="C5" s="13" t="inlineStr">
        <is>
          <t>Técnica de diseño</t>
        </is>
      </c>
      <c r="D5" s="7" t="inlineStr">
        <is>
          <t>Transición de estados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Partida en curso (N1), PowerUp activo, un fantasma en estado de gracia o recién reaparecido.</t>
        </is>
      </c>
      <c r="C10" s="14" t="n"/>
      <c r="D10" s="18" t="inlineStr">
        <is>
          <t>Modo de juego:</t>
        </is>
      </c>
      <c r="E10" s="7" t="inlineStr">
        <is>
          <t>Pacman</t>
        </is>
      </c>
    </row>
    <row r="12">
      <c r="A12" s="13" t="inlineStr">
        <is>
          <t>Título del CP</t>
        </is>
      </c>
      <c r="B12" s="34" t="inlineStr">
        <is>
          <t>El PowerUp se cancela al perder una vida</t>
        </is>
      </c>
      <c r="C12" s="14" t="n"/>
      <c r="D12" s="14" t="n"/>
      <c r="E12" s="14" t="n"/>
    </row>
    <row r="13">
      <c r="A13" s="33" t="n"/>
      <c r="B13" s="14" t="n"/>
      <c r="C13" s="14" t="n"/>
      <c r="D13" s="14" t="n"/>
      <c r="E13" s="14" t="n"/>
    </row>
    <row r="15">
      <c r="A15" s="13" t="inlineStr">
        <is>
          <t>Historias de Usuario</t>
        </is>
      </c>
      <c r="B15" s="7" t="inlineStr">
        <is>
          <t>HU-08</t>
        </is>
      </c>
      <c r="C15" s="13" t="inlineStr">
        <is>
          <t>Épica</t>
        </is>
      </c>
      <c r="D15" s="7" t="inlineStr">
        <is>
          <t>E2 — PowerUp e interacción con fantasmas</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29.4" customHeight="1">
      <c r="A19" s="8" t="n">
        <v>1</v>
      </c>
      <c r="B19" s="7" t="inlineStr">
        <is>
          <t>Con el PowerUp activo, perder una vida por contacto con un fantasma no vulnerable.</t>
        </is>
      </c>
      <c r="C19" s="14" t="n"/>
      <c r="D19" s="7" t="inlineStr">
        <is>
          <t>Se descuenta una vida.</t>
        </is>
      </c>
      <c r="E19" s="14" t="n"/>
    </row>
    <row r="20" ht="29.4" customHeight="1">
      <c r="A20" s="8" t="n">
        <v>2</v>
      </c>
      <c r="B20" s="7" t="inlineStr">
        <is>
          <t>Observar el estado de los fantasmas al reanudarse el nivel.</t>
        </is>
      </c>
      <c r="C20" s="14" t="n"/>
      <c r="D20" s="18" t="inlineStr">
        <is>
          <t>El PowerUp queda cancelado: los fantasmas muestran su diseño normal y persiguen a Pacman.</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5.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CP-033</t>
        </is>
      </c>
      <c r="C1" s="13" t="inlineStr">
        <is>
          <t>Descripción / Funcionalidad</t>
        </is>
      </c>
      <c r="D1" s="18" t="inlineStr">
        <is>
          <t>HU-08 · Perder una vida al ser alcanzado por un fantasma</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v>46294</v>
      </c>
      <c r="I3" s="11" t="inlineStr">
        <is>
          <t>Rodriguez Castro</t>
        </is>
      </c>
      <c r="J3" s="11" t="inlineStr">
        <is>
          <t>Aprobado</t>
        </is>
      </c>
      <c r="K3" s="11" t="inlineStr">
        <is>
          <t>Aprobado. Coincide con lo observado en CP-012.</t>
        </is>
      </c>
      <c r="L3" s="11" t="n"/>
    </row>
    <row r="4" ht="82.1999999999999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Con 20 esferas consumidas se perdió una vida: siguió el nivel 1, puntaje 200 → 200, las esferas consumidas siguen ausentes y los personajes volvieron a sus posiciones iniciales.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Transición de estados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Partida en curso (N1), 3 vidas, al menos 15 esferas consumidas.</t>
        </is>
      </c>
      <c r="C10" s="14" t="n"/>
      <c r="D10" s="18" t="inlineStr">
        <is>
          <t>Modo de juego:</t>
        </is>
      </c>
      <c r="E10" s="7" t="inlineStr">
        <is>
          <t>Pacman</t>
        </is>
      </c>
    </row>
    <row r="12">
      <c r="A12" s="13" t="inlineStr">
        <is>
          <t>Título del CP</t>
        </is>
      </c>
      <c r="B12" s="34" t="inlineStr">
        <is>
          <t>Reanudación del nivel tras perder una vida</t>
        </is>
      </c>
      <c r="C12" s="14" t="n"/>
      <c r="D12" s="14" t="n"/>
      <c r="E12" s="14" t="n"/>
    </row>
    <row r="13">
      <c r="A13" s="33" t="n"/>
      <c r="B13" s="14" t="n"/>
      <c r="C13" s="14" t="n"/>
      <c r="D13" s="14" t="n"/>
      <c r="E13" s="14" t="n"/>
    </row>
    <row r="15">
      <c r="A15" s="13" t="inlineStr">
        <is>
          <t>Historias de Usuario</t>
        </is>
      </c>
      <c r="B15" s="7" t="inlineStr">
        <is>
          <t>HU-08</t>
        </is>
      </c>
      <c r="C15" s="13" t="inlineStr">
        <is>
          <t>Épica</t>
        </is>
      </c>
      <c r="D15" s="7" t="inlineStr">
        <is>
          <t>E2 — PowerUp e interacción con fantasmas</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16.2" customHeight="1">
      <c r="A18" s="13" t="inlineStr">
        <is>
          <t>Mutación (Entrega 2)</t>
        </is>
      </c>
      <c r="B18" s="35" t="inlineStr">
        <is>
          <t>Con 20 esferas consumidas.</t>
        </is>
      </c>
      <c r="C18" s="36" t="n"/>
      <c r="D18" s="36" t="n"/>
      <c r="E18" s="36" t="n"/>
    </row>
    <row r="20">
      <c r="A20" s="13" t="inlineStr">
        <is>
          <t>Pasos #</t>
        </is>
      </c>
      <c r="B20" s="13" t="inlineStr">
        <is>
          <t>Detalle de pasos</t>
        </is>
      </c>
      <c r="C20" s="33" t="n"/>
      <c r="D20" s="13" t="inlineStr">
        <is>
          <t>Resultado esperado</t>
        </is>
      </c>
      <c r="E20" s="33" t="n"/>
    </row>
    <row r="21" ht="16.2" customHeight="1">
      <c r="A21" s="8" t="n">
        <v>1</v>
      </c>
      <c r="B21" s="7" t="inlineStr">
        <is>
          <t>Perder una vida.</t>
        </is>
      </c>
      <c r="C21" s="14" t="n"/>
      <c r="D21" s="7" t="inlineStr">
        <is>
          <t>Se descuenta una vida.</t>
        </is>
      </c>
      <c r="E21" s="14" t="n"/>
    </row>
    <row r="22" ht="42.59999999999999" customHeight="1">
      <c r="A22" s="8" t="n">
        <v>2</v>
      </c>
      <c r="B22" s="7" t="inlineStr">
        <is>
          <t>Observar el nivel, el puntaje, las esferas y las posiciones de los personajes.</t>
        </is>
      </c>
      <c r="C22" s="14" t="n"/>
      <c r="D22" s="18" t="inlineStr">
        <is>
          <t>Se reanuda el mismo nivel 1, con el puntaje conservado, las esferas consumidas ausentes y los personajes en sus posiciones iniciales.</t>
        </is>
      </c>
      <c r="E22" s="1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6.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CP-034</t>
        </is>
      </c>
      <c r="C1" s="13" t="inlineStr">
        <is>
          <t>Descripción / Funcionalidad</t>
        </is>
      </c>
      <c r="D1" s="18" t="inlineStr">
        <is>
          <t>HU-09 · Ver la cantidad de vidas restantes</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v>46294</v>
      </c>
      <c r="I3" s="11" t="inlineStr">
        <is>
          <t>Rodriguez Castro</t>
        </is>
      </c>
      <c r="J3" s="11" t="inlineStr">
        <is>
          <t>Fallido</t>
        </is>
      </c>
      <c r="K3" s="11" t="inlineStr">
        <is>
          <t>Fallido. Se cumple que no es un número, pero no la ubicación ni el tipo de ícono. Ver DEF-001.</t>
        </is>
      </c>
      <c r="L3" s="11" t="inlineStr">
        <is>
          <t>DEF-001</t>
        </is>
      </c>
    </row>
    <row r="4" ht="55.8" customHeight="1">
      <c r="C4" s="13" t="inlineStr">
        <is>
          <t>Estado en la Entrega 1</t>
        </is>
      </c>
      <c r="D4" s="7" t="inlineStr">
        <is>
          <t>Fallido</t>
        </is>
      </c>
      <c r="E4" s="14" t="n"/>
      <c r="G4" s="9" t="inlineStr">
        <is>
          <t>Ciclo 2</t>
        </is>
      </c>
      <c r="H4" s="15" t="n">
        <v>46307</v>
      </c>
      <c r="I4" s="11" t="inlineStr">
        <is>
          <t>Luzzi</t>
        </is>
      </c>
      <c r="J4" s="11" t="inlineStr">
        <is>
          <t>Aprobado</t>
        </is>
      </c>
      <c r="K4" s="11" t="inlineStr">
        <is>
          <t>Las vidas se muestran abajo a la izquierda, debajo del mapa, como 3 íconos de Pacman (sin número); al perder una vida quedan 2. CP-034: Fallido en Entrega 1 → Aprobado.</t>
        </is>
      </c>
      <c r="L4" s="11" t="n"/>
    </row>
    <row r="5" ht="30" customHeight="1">
      <c r="A5" s="13" t="inlineStr">
        <is>
          <t>Prioridad (Alta, Media, Baja)</t>
        </is>
      </c>
      <c r="B5" s="18" t="inlineStr">
        <is>
          <t>Media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recién iniciada en modo Pacman.</t>
        </is>
      </c>
      <c r="C10" s="14" t="n"/>
      <c r="D10" s="18" t="inlineStr">
        <is>
          <t>Modo de juego:</t>
        </is>
      </c>
      <c r="E10" s="7" t="inlineStr">
        <is>
          <t>Pacman</t>
        </is>
      </c>
    </row>
    <row r="12">
      <c r="A12" s="13" t="inlineStr">
        <is>
          <t>Título del CP</t>
        </is>
      </c>
      <c r="B12" s="34" t="inlineStr">
        <is>
          <t>Presentación del contador de vidas</t>
        </is>
      </c>
      <c r="C12" s="14" t="n"/>
      <c r="D12" s="14" t="n"/>
      <c r="E12" s="14" t="n"/>
    </row>
    <row r="13">
      <c r="A13" s="33" t="n"/>
      <c r="B13" s="14" t="n"/>
      <c r="C13" s="14" t="n"/>
      <c r="D13" s="14" t="n"/>
      <c r="E13" s="14" t="n"/>
    </row>
    <row r="15">
      <c r="A15" s="13" t="inlineStr">
        <is>
          <t>Historias de Usuario</t>
        </is>
      </c>
      <c r="B15" s="7" t="inlineStr">
        <is>
          <t>HU-09</t>
        </is>
      </c>
      <c r="C15" s="13" t="inlineStr">
        <is>
          <t>Épica</t>
        </is>
      </c>
      <c r="D15" s="7" t="inlineStr">
        <is>
          <t>E3 — Vidas, puntaje y fin de partida</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29.4" customHeight="1">
      <c r="A18" s="13" t="inlineStr">
        <is>
          <t>Mutación (Entrega 2)</t>
        </is>
      </c>
      <c r="B18" s="35" t="inlineStr">
        <is>
          <t>Prueba de confirmación de DEF-001: se repite el caso sin cambios. Además se pierde una vida para ver que se retira un ícono.</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Observar el extremo inferior izquierdo de la pantalla.</t>
        </is>
      </c>
      <c r="C21" s="14" t="n"/>
      <c r="D21" s="18" t="inlineStr">
        <is>
          <t>Se muestran 3 íconos de Pacman como contador de vidas, no un número.</t>
        </is>
      </c>
      <c r="E21" s="14" t="n"/>
    </row>
    <row r="22" ht="24" customHeight="1">
      <c r="A22" s="21" t="inlineStr">
        <is>
          <t>El caso se aprueba solo si se cumple todo el resultado esperado del último paso (en negrita); si cualquier parte no se cumple, se registra como Fallido.</t>
        </is>
      </c>
    </row>
  </sheetData>
  <mergeCells count="23">
    <mergeCell ref="D20:E20"/>
    <mergeCell ref="B7:C7"/>
    <mergeCell ref="D1:E1"/>
    <mergeCell ref="B12:E13"/>
    <mergeCell ref="D21:E21"/>
    <mergeCell ref="B21:C21"/>
    <mergeCell ref="D2:E2"/>
    <mergeCell ref="A12:A13"/>
    <mergeCell ref="B8:C8"/>
    <mergeCell ref="A3:B3"/>
    <mergeCell ref="G1:L1"/>
    <mergeCell ref="D16:E16"/>
    <mergeCell ref="B18:E18"/>
    <mergeCell ref="D7:E7"/>
    <mergeCell ref="B10:C10"/>
    <mergeCell ref="D4:E4"/>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7.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CP-036</t>
        </is>
      </c>
      <c r="C1" s="13" t="inlineStr">
        <is>
          <t>Descripción / Funcionalidad</t>
        </is>
      </c>
      <c r="D1" s="18" t="inlineStr">
        <is>
          <t>HU-10 · Terminar la partida al agotar las vidas</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v>46294</v>
      </c>
      <c r="I3" s="11" t="inlineStr">
        <is>
          <t>Rodriguez Castro</t>
        </is>
      </c>
      <c r="J3" s="11" t="inlineStr">
        <is>
          <t>Aprobado</t>
        </is>
      </c>
      <c r="K3" s="11" t="inlineStr">
        <is>
          <t>Aprobado.</t>
        </is>
      </c>
      <c r="L3" s="11" t="n"/>
    </row>
    <row r="4" ht="55.8"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Última vida perdida en el nivel 2: se mostró «Game Over» con el puntaje final (0); 5 s después la partida seguía terminada, sin reiniciarse ni reanudarse. (Vidas fijadas en 1 por script.)</t>
        </is>
      </c>
      <c r="L4" s="11" t="n"/>
    </row>
    <row r="5" ht="30" customHeight="1">
      <c r="A5" s="13" t="inlineStr">
        <is>
          <t>Prioridad (Alta, Media, Baja)</t>
        </is>
      </c>
      <c r="B5" s="18" t="inlineStr">
        <is>
          <t>Alta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 1 vida restante.</t>
        </is>
      </c>
      <c r="C10" s="14" t="n"/>
      <c r="D10" s="18" t="inlineStr">
        <is>
          <t>Modo de juego:</t>
        </is>
      </c>
      <c r="E10" s="7" t="inlineStr">
        <is>
          <t>Pacman</t>
        </is>
      </c>
    </row>
    <row r="12">
      <c r="A12" s="13" t="inlineStr">
        <is>
          <t>Título del CP</t>
        </is>
      </c>
      <c r="B12" s="34" t="inlineStr">
        <is>
          <t>Game Over al perder la tercera vida</t>
        </is>
      </c>
      <c r="C12" s="14" t="n"/>
      <c r="D12" s="14" t="n"/>
      <c r="E12" s="14" t="n"/>
    </row>
    <row r="13">
      <c r="A13" s="33" t="n"/>
      <c r="B13" s="14" t="n"/>
      <c r="C13" s="14" t="n"/>
      <c r="D13" s="14" t="n"/>
      <c r="E13" s="14" t="n"/>
    </row>
    <row r="15">
      <c r="A15" s="13" t="inlineStr">
        <is>
          <t>Historias de Usuario</t>
        </is>
      </c>
      <c r="B15" s="7" t="inlineStr">
        <is>
          <t>HU-10</t>
        </is>
      </c>
      <c r="C15" s="13" t="inlineStr">
        <is>
          <t>Épica</t>
        </is>
      </c>
      <c r="D15" s="7" t="inlineStr">
        <is>
          <t>E3 — Vidas, puntaje y fin de partida</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ht="16.2" customHeight="1">
      <c r="A18" s="13" t="inlineStr">
        <is>
          <t>Mutación (Entrega 2)</t>
        </is>
      </c>
      <c r="B18" s="35" t="inlineStr">
        <is>
          <t>Última vida perdida en el nivel 2.</t>
        </is>
      </c>
      <c r="C18" s="36" t="n"/>
      <c r="D18" s="36" t="n"/>
      <c r="E18" s="36" t="n"/>
    </row>
    <row r="20">
      <c r="A20" s="13" t="inlineStr">
        <is>
          <t>Pasos #</t>
        </is>
      </c>
      <c r="B20" s="13" t="inlineStr">
        <is>
          <t>Detalle de pasos</t>
        </is>
      </c>
      <c r="C20" s="33" t="n"/>
      <c r="D20" s="13" t="inlineStr">
        <is>
          <t>Resultado esperado</t>
        </is>
      </c>
      <c r="E20" s="33" t="n"/>
    </row>
    <row r="21" ht="16.2" customHeight="1">
      <c r="A21" s="8" t="n">
        <v>1</v>
      </c>
      <c r="B21" s="7" t="inlineStr">
        <is>
          <t>Perder la última vida.</t>
        </is>
      </c>
      <c r="C21" s="14" t="n"/>
      <c r="D21" s="7" t="inlineStr">
        <is>
          <t>El contador de vidas queda sin íconos.</t>
        </is>
      </c>
      <c r="E21" s="14" t="n"/>
    </row>
    <row r="22" ht="42.59999999999999" customHeight="1">
      <c r="A22" s="8" t="n">
        <v>2</v>
      </c>
      <c r="B22" s="7" t="inlineStr">
        <is>
          <t>Observar la pantalla y esperar 5 segundos.</t>
        </is>
      </c>
      <c r="C22" s="14" t="n"/>
      <c r="D22" s="18" t="inlineStr">
        <is>
          <t>La partida termina, se muestra la pantalla de Game Over con el puntaje final, y el nivel no se reinicia ni se reanuda.</t>
        </is>
      </c>
      <c r="E22" s="1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8.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CP-047</t>
        </is>
      </c>
      <c r="C1" s="13" t="inlineStr">
        <is>
          <t>Descripción / Funcionalidad</t>
        </is>
      </c>
      <c r="D1" s="18" t="inlineStr">
        <is>
          <t>HU-15 · Jugar tres niveles con mapas propios</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55.8"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v>46294</v>
      </c>
      <c r="I3" s="11" t="inlineStr">
        <is>
          <t>Rodriguez Castro</t>
        </is>
      </c>
      <c r="J3" s="11" t="inlineStr">
        <is>
          <t>Aprobado</t>
        </is>
      </c>
      <c r="K3" s="11" t="inlineStr">
        <is>
          <t>Aprobado. Colores verificados en capturas y en los píxeles de los muros, y coinciden con la configuración del juego (N1 \#c81e2c / \#38f0e8; N2 \#0b1d4d / \#2f6bff; N3 \#0d4d12 / \#39ff14).</t>
        </is>
      </c>
      <c r="L3" s="11" t="n"/>
    </row>
    <row r="4" ht="108.6"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Niveles 1, 2 y 3 en orden; HUD: ['Nivel 1', 'Nivel 2', 'Nivel 3']. Los tres mapas tienen forma distinta. Color medio de muros: N1 [168, 25, 37] con 148 muestras rojas (franjas), N2 [11, 29, 77] (azul, sin rojo), N3 [14, 78, 18] (verde). Barra inferior de vidas con 3 íconos de Pacman en los tres niveles (DEF-001). (Mapas reducidos por script para avanzar; capturas REG-CP-047-N1..N3.)</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Ninguna.</t>
        </is>
      </c>
      <c r="C10" s="14" t="n"/>
      <c r="D10" s="18" t="inlineStr">
        <is>
          <t>Modo de juego:</t>
        </is>
      </c>
      <c r="E10" s="7" t="inlineStr">
        <is>
          <t>Pacman</t>
        </is>
      </c>
    </row>
    <row r="12">
      <c r="A12" s="13" t="inlineStr">
        <is>
          <t>Título del CP</t>
        </is>
      </c>
      <c r="B12" s="34" t="inlineStr">
        <is>
          <t>Los tres niveles y sus mapas</t>
        </is>
      </c>
      <c r="C12" s="14" t="n"/>
      <c r="D12" s="14" t="n"/>
      <c r="E12" s="14" t="n"/>
    </row>
    <row r="13">
      <c r="A13" s="33" t="n"/>
      <c r="B13" s="14" t="n"/>
      <c r="C13" s="14" t="n"/>
      <c r="D13" s="14" t="n"/>
      <c r="E13" s="14" t="n"/>
    </row>
    <row r="15">
      <c r="A15" s="13" t="inlineStr">
        <is>
          <t>Historias de Usuario</t>
        </is>
      </c>
      <c r="B15" s="7" t="inlineStr">
        <is>
          <t>HU-15</t>
        </is>
      </c>
      <c r="C15" s="13" t="inlineStr">
        <is>
          <t>Épica</t>
        </is>
      </c>
      <c r="D15" s="7" t="inlineStr">
        <is>
          <t>E4 — Niveles y progresión de dificultad</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ht="16.2" customHeight="1">
      <c r="A18" s="13" t="inlineStr">
        <is>
          <t>Mutación (Entrega 2)</t>
        </is>
      </c>
      <c r="B18" s="35" t="inlineStr">
        <is>
          <t>Partida completa; se registra además la barra inferior de vidas (DEF-001).</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Jugar una partida completando los tres niveles.</t>
        </is>
      </c>
      <c r="C21" s="14" t="n"/>
      <c r="D21" s="7" t="inlineStr">
        <is>
          <t>La partida recorre los niveles 1, 2 y 3 en ese orden.</t>
        </is>
      </c>
      <c r="E21" s="14" t="n"/>
    </row>
    <row r="22" ht="95.39999999999999" customHeight="1">
      <c r="A22" s="8" t="n">
        <v>2</v>
      </c>
      <c r="B22" s="7" t="inlineStr">
        <is>
          <t>Registrar la forma y la paleta de cada mapa, y el número de nivel del HUD.</t>
        </is>
      </c>
      <c r="C22" s="14" t="n"/>
      <c r="D22" s="18" t="inlineStr">
        <is>
          <t>Los niveles se juegan en orden 1, 2, 3; cada mapa tiene forma propia distinta de la de los otros dos; el nivel 1 es negro con franjas rojas y contorno celeste, el 2 azul sobre negro con contorno azul y sin franjas, el 3 verde brillante; los caminos están marcados con puntos blancos en los tres; el HUD indica el nivel en curso.</t>
        </is>
      </c>
      <c r="E22" s="1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29.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CP-049</t>
        </is>
      </c>
      <c r="C1" s="13" t="inlineStr">
        <is>
          <t>Descripción / Funcionalidad</t>
        </is>
      </c>
      <c r="D1" s="18" t="inlineStr">
        <is>
          <t>HU-16 · Enfrentar solo fantasmas clásicos en el nivel 1</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v>46294</v>
      </c>
      <c r="I3" s="11" t="inlineStr">
        <is>
          <t>Rodriguez Castro</t>
        </is>
      </c>
      <c r="J3" s="11" t="inlineStr">
        <is>
          <t>Aprobado</t>
        </is>
      </c>
      <c r="K3" s="11" t="inlineStr">
        <is>
          <t>Aprobado.</t>
        </is>
      </c>
      <c r="L3" s="11" t="n"/>
    </row>
    <row r="4" ht="55.8"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Nivel 1 observado 40 s (30 s más que en la V1): tipos ['classic'], velocidades [5] celdas/s; ninguno atravesó muros, saltó, colocó frutas ni hizo dash. (Vidas repuestas por script.)</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t>
        </is>
      </c>
      <c r="C10" s="14" t="n"/>
      <c r="D10" s="18" t="inlineStr">
        <is>
          <t>Modo de juego:</t>
        </is>
      </c>
      <c r="E10" s="7" t="inlineStr">
        <is>
          <t>Pacman</t>
        </is>
      </c>
    </row>
    <row r="12">
      <c r="A12" s="13" t="inlineStr">
        <is>
          <t>Título del CP</t>
        </is>
      </c>
      <c r="B12" s="34" t="inlineStr">
        <is>
          <t>Solo fantasmas clásicos en el nivel 1</t>
        </is>
      </c>
      <c r="C12" s="14" t="n"/>
      <c r="D12" s="14" t="n"/>
      <c r="E12" s="14" t="n"/>
    </row>
    <row r="13">
      <c r="A13" s="33" t="n"/>
      <c r="B13" s="14" t="n"/>
      <c r="C13" s="14" t="n"/>
      <c r="D13" s="14" t="n"/>
      <c r="E13" s="14" t="n"/>
    </row>
    <row r="15">
      <c r="A15" s="13" t="inlineStr">
        <is>
          <t>Historias de Usuario</t>
        </is>
      </c>
      <c r="B15" s="7" t="inlineStr">
        <is>
          <t>HU-16</t>
        </is>
      </c>
      <c r="C15" s="13" t="inlineStr">
        <is>
          <t>Épica</t>
        </is>
      </c>
      <c r="D15" s="7" t="inlineStr">
        <is>
          <t>E4 — Niveles y progresión de dificultad</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16.2" customHeight="1">
      <c r="A18" s="13" t="inlineStr">
        <is>
          <t>Mutación (Entrega 2)</t>
        </is>
      </c>
      <c r="B18" s="35" t="inlineStr">
        <is>
          <t>Se agregan 30 s más de observación.</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Observar los cuatro fantasmas durante todo el nivel 1.</t>
        </is>
      </c>
      <c r="C21" s="14" t="n"/>
      <c r="D21" s="7" t="inlineStr">
        <is>
          <t>Durante el nivel 1 se observan los cuatro fantasmas.</t>
        </is>
      </c>
      <c r="E21" s="14" t="n"/>
    </row>
    <row r="22" ht="55.8" customHeight="1">
      <c r="A22" s="8" t="n">
        <v>2</v>
      </c>
      <c r="B22" s="7" t="inlineStr">
        <is>
          <t>Comparar sus velocidades de desplazamiento.</t>
        </is>
      </c>
      <c r="C22" s="14" t="n"/>
      <c r="D22" s="18" t="inlineStr">
        <is>
          <t>Los cuatro fantasmas son clásicos, ninguno atraviesa muros, se teletransporta, coloca frutas falsas ni ejecuta un dash, y los cuatro se desplazan a la misma velocidad.</t>
        </is>
      </c>
      <c r="E22" s="1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0.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CP-050</t>
        </is>
      </c>
      <c r="C1" s="13" t="inlineStr">
        <is>
          <t>Descripción / Funcionalidad</t>
        </is>
      </c>
      <c r="D1" s="18" t="inlineStr">
        <is>
          <t>HU-16 · Enfrentar solo fantasmas clásicos en el nivel 1</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v>46294</v>
      </c>
      <c r="I3" s="11" t="inlineStr">
        <is>
          <t>Rodriguez Castro</t>
        </is>
      </c>
      <c r="J3" s="11" t="inlineStr">
        <is>
          <t>Aprobado</t>
        </is>
      </c>
      <c r="K3" s="11" t="inlineStr">
        <is>
          <t>Aprobado.</t>
        </is>
      </c>
      <c r="L3" s="11" t="n"/>
    </row>
    <row r="4" ht="55.8"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Nivel 1: 6 fantasmas comidos; reaparecieron como ['classic', 'classic', 'classic', 'classic', 'classic', 'classic']. (PowerUp prolongado y reaparición acelerada por script.)</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t>
        </is>
      </c>
      <c r="C10" s="14" t="n"/>
      <c r="D10" s="18" t="inlineStr">
        <is>
          <t>Modo de juego:</t>
        </is>
      </c>
      <c r="E10" s="7" t="inlineStr">
        <is>
          <t>Pacman</t>
        </is>
      </c>
    </row>
    <row r="12">
      <c r="A12" s="13" t="inlineStr">
        <is>
          <t>Título del CP</t>
        </is>
      </c>
      <c r="B12" s="34" t="inlineStr">
        <is>
          <t>Reaparición como clásico en el nivel 1</t>
        </is>
      </c>
      <c r="C12" s="14" t="n"/>
      <c r="D12" s="14" t="n"/>
      <c r="E12" s="14" t="n"/>
    </row>
    <row r="13">
      <c r="A13" s="33" t="n"/>
      <c r="B13" s="14" t="n"/>
      <c r="C13" s="14" t="n"/>
      <c r="D13" s="14" t="n"/>
      <c r="E13" s="14" t="n"/>
    </row>
    <row r="15">
      <c r="A15" s="13" t="inlineStr">
        <is>
          <t>Historias de Usuario</t>
        </is>
      </c>
      <c r="B15" s="7" t="inlineStr">
        <is>
          <t>HU-16</t>
        </is>
      </c>
      <c r="C15" s="13" t="inlineStr">
        <is>
          <t>Épica</t>
        </is>
      </c>
      <c r="D15" s="7" t="inlineStr">
        <is>
          <t>E4 — Niveles y progresión de dificultad</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16.2" customHeight="1">
      <c r="A18" s="13" t="inlineStr">
        <is>
          <t>Mutación (Entrega 2)</t>
        </is>
      </c>
      <c r="B18" s="35" t="inlineStr">
        <is>
          <t>6 fantasmas comidos en lugar de 4.</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Comer al menos 4 fantasmas a lo largo del nivel 1.</t>
        </is>
      </c>
      <c r="C21" s="14" t="n"/>
      <c r="D21" s="7" t="inlineStr">
        <is>
          <t>Cada fantasma comido desaparece del mapa y reaparece a los 5 segundos.</t>
        </is>
      </c>
      <c r="E21" s="14" t="n"/>
    </row>
    <row r="22" ht="29.4" customHeight="1">
      <c r="A22" s="8" t="n">
        <v>2</v>
      </c>
      <c r="B22" s="7" t="inlineStr">
        <is>
          <t>Observar el tipo de cada fantasma que reaparece.</t>
        </is>
      </c>
      <c r="C22" s="14" t="n"/>
      <c r="D22" s="18" t="inlineStr">
        <is>
          <t>Todos los fantasmas reaparecen como clásicos, sin excepción.</t>
        </is>
      </c>
      <c r="E22" s="1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1.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CP-051</t>
        </is>
      </c>
      <c r="C1" s="13" t="inlineStr">
        <is>
          <t>Descripción / Funcionalidad</t>
        </is>
      </c>
      <c r="D1" s="18" t="inlineStr">
        <is>
          <t>HU-17 · Enfrentar fantasmas con poderes a partir del nivel 2</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v>46294</v>
      </c>
      <c r="I3" s="11" t="inlineStr">
        <is>
          <t>Rodriguez Castro</t>
        </is>
      </c>
      <c r="J3" s="11" t="inlineStr">
        <is>
          <t>Aprobado</t>
        </is>
      </c>
      <c r="K3" s="11" t="inlineStr">
        <is>
          <t>Aprobado.</t>
        </is>
      </c>
      <c r="L3" s="11" t="n"/>
    </row>
    <row r="4" ht="55.8"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Nivel 1 completado con 2 vidas; al iniciar el nivel 2 los cuatro fantasmas son ['classic', 'classic', 'classic', 'classic']. (Mapa reducido por script.)</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Nivel 2 recién iniciado.</t>
        </is>
      </c>
      <c r="C10" s="14" t="n"/>
      <c r="D10" s="18" t="inlineStr">
        <is>
          <t>Modo de juego:</t>
        </is>
      </c>
      <c r="E10" s="7" t="inlineStr">
        <is>
          <t>Pacman</t>
        </is>
      </c>
    </row>
    <row r="12">
      <c r="A12" s="13" t="inlineStr">
        <is>
          <t>Título del CP</t>
        </is>
      </c>
      <c r="B12" s="34" t="inlineStr">
        <is>
          <t>Composición inicial de fantasmas del nivel 2</t>
        </is>
      </c>
      <c r="C12" s="14" t="n"/>
      <c r="D12" s="14" t="n"/>
      <c r="E12" s="14" t="n"/>
    </row>
    <row r="13">
      <c r="A13" s="33" t="n"/>
      <c r="B13" s="14" t="n"/>
      <c r="C13" s="14" t="n"/>
      <c r="D13" s="14" t="n"/>
      <c r="E13" s="14" t="n"/>
    </row>
    <row r="15">
      <c r="A15" s="13" t="inlineStr">
        <is>
          <t>Historias de Usuario</t>
        </is>
      </c>
      <c r="B15" s="7" t="inlineStr">
        <is>
          <t>HU-17</t>
        </is>
      </c>
      <c r="C15" s="13" t="inlineStr">
        <is>
          <t>Épica</t>
        </is>
      </c>
      <c r="D15" s="7" t="inlineStr">
        <is>
          <t>E4 — Niveles y progresión de dificultad</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16.2" customHeight="1">
      <c r="A18" s="13" t="inlineStr">
        <is>
          <t>Mutación (Entrega 2)</t>
        </is>
      </c>
      <c r="B18" s="35" t="inlineStr">
        <is>
          <t>Sin cambios de datos: se verifica tras completar el nivel 1 con 2 vidas.</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Observar el tipo de los cuatro fantasmas al comenzar el nivel.</t>
        </is>
      </c>
      <c r="C21" s="14" t="n"/>
      <c r="D21" s="18" t="inlineStr">
        <is>
          <t>Los cuatro fantasmas son de tipo clásico al inicio del nivel 2.</t>
        </is>
      </c>
      <c r="E21" s="14" t="n"/>
    </row>
    <row r="22" ht="24" customHeight="1">
      <c r="A22" s="21" t="inlineStr">
        <is>
          <t>El caso se aprueba solo si se cumple todo el resultado esperado del último paso (en negrita); si cualquier parte no se cumple, se registra como Fallido.</t>
        </is>
      </c>
    </row>
  </sheetData>
  <mergeCells count="23">
    <mergeCell ref="D20:E20"/>
    <mergeCell ref="B7:C7"/>
    <mergeCell ref="D1:E1"/>
    <mergeCell ref="B12:E13"/>
    <mergeCell ref="D21:E21"/>
    <mergeCell ref="B21:C21"/>
    <mergeCell ref="D2:E2"/>
    <mergeCell ref="A12:A13"/>
    <mergeCell ref="B8:C8"/>
    <mergeCell ref="A3:B3"/>
    <mergeCell ref="G1:L1"/>
    <mergeCell ref="D16:E16"/>
    <mergeCell ref="B18:E18"/>
    <mergeCell ref="D7:E7"/>
    <mergeCell ref="B10:C10"/>
    <mergeCell ref="D4:E4"/>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2.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CP-052</t>
        </is>
      </c>
      <c r="C1" s="13" t="inlineStr">
        <is>
          <t>Descripción / Funcionalidad</t>
        </is>
      </c>
      <c r="D1" s="18" t="inlineStr">
        <is>
          <t>HU-17 · Enfrentar fantasmas con poderes a partir del nivel 2</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82.19999999999999"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v>46294</v>
      </c>
      <c r="I3" s="11" t="inlineStr">
        <is>
          <t>Rodriguez Castro</t>
        </is>
      </c>
      <c r="J3" s="11" t="inlineStr">
        <is>
          <t>Aprobado</t>
        </is>
      </c>
      <c r="K3" s="11" t="inlineStr">
        <is>
          <t>Aprobado. Las 8+ reapariciones se juntaron entre dos partidas del nivel 2 (5 + 4), porque en ambas se perdieron las vidas antes de completar el nivel. Con 9 muestras la proporción observada (5/9) es consistente con el 50 % configurado (specterRespawnChance = 0,5).</t>
        </is>
      </c>
      <c r="L3" s="11" t="n"/>
    </row>
    <row r="4" ht="82.1999999999999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Nivel 2: 24 reapariciones → {'naval': 7, 'classic': 11, 'specter': 3, 'jumper': 1, 'accelerated': 2} (13 con poderes, 54 %). Aparecen clásicos y los cuatro tipos con poderes, distinguibles a la vista. (PowerUp prolongado y reaparición acelerada por script.)</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en el nivel 2.</t>
        </is>
      </c>
      <c r="C10" s="14" t="n"/>
      <c r="D10" s="18" t="inlineStr">
        <is>
          <t>Modo de juego:</t>
        </is>
      </c>
      <c r="E10" s="7" t="inlineStr">
        <is>
          <t>Pacman</t>
        </is>
      </c>
    </row>
    <row r="12">
      <c r="A12" s="13" t="inlineStr">
        <is>
          <t>Título del CP</t>
        </is>
      </c>
      <c r="B12" s="34" t="inlineStr">
        <is>
          <t>Reaparición con poderes en el nivel 2</t>
        </is>
      </c>
      <c r="C12" s="14" t="n"/>
      <c r="D12" s="14" t="n"/>
      <c r="E12" s="14" t="n"/>
    </row>
    <row r="13">
      <c r="A13" s="33" t="n"/>
      <c r="B13" s="14" t="n"/>
      <c r="C13" s="14" t="n"/>
      <c r="D13" s="14" t="n"/>
      <c r="E13" s="14" t="n"/>
    </row>
    <row r="15">
      <c r="A15" s="13" t="inlineStr">
        <is>
          <t>Historias de Usuario</t>
        </is>
      </c>
      <c r="B15" s="7" t="inlineStr">
        <is>
          <t>HU-17</t>
        </is>
      </c>
      <c r="C15" s="13" t="inlineStr">
        <is>
          <t>Épica</t>
        </is>
      </c>
      <c r="D15" s="7" t="inlineStr">
        <is>
          <t>E4 — Niveles y progresión de dificultad</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29.4" customHeight="1">
      <c r="A18" s="13" t="inlineStr">
        <is>
          <t>Mutación (Entrega 2)</t>
        </is>
      </c>
      <c r="B18" s="35" t="inlineStr">
        <is>
          <t>Resultado esperado ajustado a la decisión 23: las reapariciones con poderes pueden ser de los cuatro tipos. Resultado esperado ajustado en el último paso.</t>
        </is>
      </c>
      <c r="C18" s="36" t="n"/>
      <c r="D18" s="36" t="n"/>
      <c r="E18" s="36" t="n"/>
    </row>
    <row r="20">
      <c r="A20" s="13" t="inlineStr">
        <is>
          <t>Pasos #</t>
        </is>
      </c>
      <c r="B20" s="13" t="inlineStr">
        <is>
          <t>Detalle de pasos</t>
        </is>
      </c>
      <c r="C20" s="33" t="n"/>
      <c r="D20" s="13" t="inlineStr">
        <is>
          <t>Resultado esperado</t>
        </is>
      </c>
      <c r="E20" s="33" t="n"/>
    </row>
    <row r="21" ht="42.59999999999999" customHeight="1">
      <c r="A21" s="8" t="n">
        <v>1</v>
      </c>
      <c r="B21" s="7" t="inlineStr">
        <is>
          <t>Comer al menos 8 fantasmas a lo largo del nivel 2, registrando el tipo de cada reaparición.</t>
        </is>
      </c>
      <c r="C21" s="14" t="n"/>
      <c r="D21" s="18" t="inlineStr">
        <is>
          <t>De las reapariciones, alrededor de la mitad son con poderes, y entre ellas aparecen los cuatro tipos (espectro, saltarín, naval y acelerado).</t>
        </is>
      </c>
      <c r="E21" s="14" t="n"/>
    </row>
    <row r="22" ht="24" customHeight="1">
      <c r="A22" s="21" t="inlineStr">
        <is>
          <t>El caso se aprueba solo si se cumple todo el resultado esperado del último paso (en negrita); si cualquier parte no se cumple, se registra como Fallido.</t>
        </is>
      </c>
    </row>
  </sheetData>
  <mergeCells count="23">
    <mergeCell ref="D20:E20"/>
    <mergeCell ref="B7:C7"/>
    <mergeCell ref="D1:E1"/>
    <mergeCell ref="B12:E13"/>
    <mergeCell ref="D21:E21"/>
    <mergeCell ref="B21:C21"/>
    <mergeCell ref="D2:E2"/>
    <mergeCell ref="A12:A13"/>
    <mergeCell ref="B8:C8"/>
    <mergeCell ref="A3:B3"/>
    <mergeCell ref="G1:L1"/>
    <mergeCell ref="D16:E16"/>
    <mergeCell ref="B18:E18"/>
    <mergeCell ref="D7:E7"/>
    <mergeCell ref="B10:C10"/>
    <mergeCell ref="D4:E4"/>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3.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CP-053</t>
        </is>
      </c>
      <c r="C1" s="13" t="inlineStr">
        <is>
          <t>Descripción / Funcionalidad</t>
        </is>
      </c>
      <c r="D1" s="18" t="inlineStr">
        <is>
          <t>HU-17 · Enfrentar fantasmas con poderes a partir del nivel 2</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v>46294</v>
      </c>
      <c r="I3" s="11" t="inlineStr">
        <is>
          <t>Rodriguez Castro</t>
        </is>
      </c>
      <c r="J3" s="11" t="inlineStr">
        <is>
          <t>Aprobado</t>
        </is>
      </c>
      <c r="K3" s="11" t="inlineStr">
        <is>
          <t>Aprobado.</t>
        </is>
      </c>
      <c r="L3" s="11" t="n"/>
    </row>
    <row r="4" ht="42.5999999999999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Al iniciar el nivel 3 los fantasmas son ['specter', 'jumper', 'naval', 'accelerated']: uno de cada tipo con poderes.</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Nivel 3 recién iniciado.</t>
        </is>
      </c>
      <c r="C10" s="14" t="n"/>
      <c r="D10" s="18" t="inlineStr">
        <is>
          <t>Modo de juego:</t>
        </is>
      </c>
      <c r="E10" s="7" t="inlineStr">
        <is>
          <t>Pacman</t>
        </is>
      </c>
    </row>
    <row r="12">
      <c r="A12" s="13" t="inlineStr">
        <is>
          <t>Título del CP</t>
        </is>
      </c>
      <c r="B12" s="34" t="inlineStr">
        <is>
          <t>Todos los fantasmas con poderes en el nivel 3</t>
        </is>
      </c>
      <c r="C12" s="14" t="n"/>
      <c r="D12" s="14" t="n"/>
      <c r="E12" s="14" t="n"/>
    </row>
    <row r="13">
      <c r="A13" s="33" t="n"/>
      <c r="B13" s="14" t="n"/>
      <c r="C13" s="14" t="n"/>
      <c r="D13" s="14" t="n"/>
      <c r="E13" s="14" t="n"/>
    </row>
    <row r="15">
      <c r="A15" s="13" t="inlineStr">
        <is>
          <t>Historias de Usuario</t>
        </is>
      </c>
      <c r="B15" s="7" t="inlineStr">
        <is>
          <t>HU-17</t>
        </is>
      </c>
      <c r="C15" s="13" t="inlineStr">
        <is>
          <t>Épica</t>
        </is>
      </c>
      <c r="D15" s="7" t="inlineStr">
        <is>
          <t>E4 — Niveles y progresión de dificultad</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29.4" customHeight="1">
      <c r="A18" s="13" t="inlineStr">
        <is>
          <t>Mutación (Entrega 2)</t>
        </is>
      </c>
      <c r="B18" s="35" t="inlineStr">
        <is>
          <t>Resultado esperado ajustado a la decisión 23: uno de cada tipo con poderes. Resultado esperado ajustado en el último paso.</t>
        </is>
      </c>
      <c r="C18" s="36" t="n"/>
      <c r="D18" s="36" t="n"/>
      <c r="E18" s="36" t="n"/>
    </row>
    <row r="20">
      <c r="A20" s="13" t="inlineStr">
        <is>
          <t>Pasos #</t>
        </is>
      </c>
      <c r="B20" s="13" t="inlineStr">
        <is>
          <t>Detalle de pasos</t>
        </is>
      </c>
      <c r="C20" s="33" t="n"/>
      <c r="D20" s="13" t="inlineStr">
        <is>
          <t>Resultado esperado</t>
        </is>
      </c>
      <c r="E20" s="33" t="n"/>
    </row>
    <row r="21" ht="42.59999999999999" customHeight="1">
      <c r="A21" s="8" t="n">
        <v>1</v>
      </c>
      <c r="B21" s="7" t="inlineStr">
        <is>
          <t>Observar el tipo de los cuatro fantasmas al comenzar el nivel.</t>
        </is>
      </c>
      <c r="C21" s="14" t="n"/>
      <c r="D21" s="18" t="inlineStr">
        <is>
          <t>Los cuatro fantasmas tienen poderes desde el inicio: uno de cada tipo (espectro, saltarín, naval y acelerado).</t>
        </is>
      </c>
      <c r="E21" s="14" t="n"/>
    </row>
    <row r="22" ht="24" customHeight="1">
      <c r="A22" s="21" t="inlineStr">
        <is>
          <t>El caso se aprueba solo si se cumple todo el resultado esperado del último paso (en negrita); si cualquier parte no se cumple, se registra como Fallido.</t>
        </is>
      </c>
    </row>
  </sheetData>
  <mergeCells count="23">
    <mergeCell ref="D20:E20"/>
    <mergeCell ref="B7:C7"/>
    <mergeCell ref="D1:E1"/>
    <mergeCell ref="B12:E13"/>
    <mergeCell ref="D21:E21"/>
    <mergeCell ref="B21:C21"/>
    <mergeCell ref="D2:E2"/>
    <mergeCell ref="A12:A13"/>
    <mergeCell ref="B8:C8"/>
    <mergeCell ref="A3:B3"/>
    <mergeCell ref="G1:L1"/>
    <mergeCell ref="D16:E16"/>
    <mergeCell ref="B18:E18"/>
    <mergeCell ref="D7:E7"/>
    <mergeCell ref="B10:C10"/>
    <mergeCell ref="D4:E4"/>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4.xml><?xml version="1.0" encoding="utf-8"?>
<worksheet xmlns="http://schemas.openxmlformats.org/spreadsheetml/2006/main">
  <sheetPr>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CP-055</t>
        </is>
      </c>
      <c r="C1" s="13" t="inlineStr">
        <is>
          <t>Descripción / Funcionalidad</t>
        </is>
      </c>
      <c r="D1" s="18" t="inlineStr">
        <is>
          <t>HU-18 · Enfrentar al fantasma espectro</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v>46294</v>
      </c>
      <c r="I3" s="11" t="inlineStr">
        <is>
          <t>Rodriguez Castro</t>
        </is>
      </c>
      <c r="J3" s="11" t="inlineStr">
        <is>
          <t>Aprobado</t>
        </is>
      </c>
      <c r="K3" s="11" t="inlineStr">
        <is>
          <t>Aprobado. Todos los cruces ocurrieron en modo persecución y con el espectro no vulnerable.</t>
        </is>
      </c>
      <c r="L3" s="11" t="n"/>
    </row>
    <row r="4" ht="6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Espectro observado 60 s en el nivel 3: atravesó paredes 6 veces, cada vez una sola pared (el cruce es de muro + celda de salida; nunca una secuencia de paredes contiguas). (Vidas repuestas y otros fantasmas retirados por script.)</t>
        </is>
      </c>
      <c r="L4" s="11" t="n"/>
    </row>
    <row r="5" ht="30" customHeight="1">
      <c r="A5" s="13" t="inlineStr">
        <is>
          <t>Prioridad (Alta, Media, Baja)</t>
        </is>
      </c>
      <c r="B5" s="18" t="inlineStr">
        <is>
          <t>Alta</t>
        </is>
      </c>
      <c r="C5" s="13" t="inlineStr">
        <is>
          <t>Técnica de diseño</t>
        </is>
      </c>
      <c r="D5" s="7" t="inlineStr">
        <is>
          <t>Transición de estados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en el nivel 3.</t>
        </is>
      </c>
      <c r="C10" s="14" t="n"/>
      <c r="D10" s="18" t="inlineStr">
        <is>
          <t>Modo de juego:</t>
        </is>
      </c>
      <c r="E10" s="7" t="inlineStr">
        <is>
          <t>Pacman</t>
        </is>
      </c>
    </row>
    <row r="12">
      <c r="A12" s="13" t="inlineStr">
        <is>
          <t>Título del CP</t>
        </is>
      </c>
      <c r="B12" s="34" t="inlineStr">
        <is>
          <t>El espectro atraviesa una pared</t>
        </is>
      </c>
      <c r="C12" s="14" t="n"/>
      <c r="D12" s="14" t="n"/>
      <c r="E12" s="14" t="n"/>
    </row>
    <row r="13">
      <c r="A13" s="33" t="n"/>
      <c r="B13" s="14" t="n"/>
      <c r="C13" s="14" t="n"/>
      <c r="D13" s="14" t="n"/>
      <c r="E13" s="14" t="n"/>
    </row>
    <row r="15">
      <c r="A15" s="13" t="inlineStr">
        <is>
          <t>Historias de Usuario</t>
        </is>
      </c>
      <c r="B15" s="7" t="inlineStr">
        <is>
          <t>HU-18</t>
        </is>
      </c>
      <c r="C15" s="13" t="inlineStr">
        <is>
          <t>Épica</t>
        </is>
      </c>
      <c r="D15" s="7" t="inlineStr">
        <is>
          <t>E4 — Niveles y progresión de dificultad</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16.2" customHeight="1">
      <c r="A18" s="13" t="inlineStr">
        <is>
          <t>Mutación (Entrega 2)</t>
        </is>
      </c>
      <c r="B18" s="35" t="inlineStr">
        <is>
          <t>Precondición ajustada (decisión 23): se identifica al espectro entre los cuatro tipos del nivel 3.</t>
        </is>
      </c>
      <c r="C18" s="36" t="n"/>
      <c r="D18" s="36" t="n"/>
      <c r="E18" s="36" t="n"/>
    </row>
    <row r="20">
      <c r="A20" s="13" t="inlineStr">
        <is>
          <t>Pasos #</t>
        </is>
      </c>
      <c r="B20" s="13" t="inlineStr">
        <is>
          <t>Detalle de pasos</t>
        </is>
      </c>
      <c r="C20" s="33" t="n"/>
      <c r="D20" s="13" t="inlineStr">
        <is>
          <t>Resultado esperado</t>
        </is>
      </c>
      <c r="E20" s="33" t="n"/>
    </row>
    <row r="21" ht="42.59999999999999" customHeight="1">
      <c r="A21" s="8" t="n">
        <v>1</v>
      </c>
      <c r="B21" s="7" t="inlineStr">
        <is>
          <t>Observar el desplazamiento de un espectro durante 60 segundos.</t>
        </is>
      </c>
      <c r="C21" s="14" t="n"/>
      <c r="D21" s="18" t="inlineStr">
        <is>
          <t>El espectro atraviesa paredes, y en cada activación atraviesa una sola pared: no cruza una secuencia de paredes contiguas en un mismo uso.</t>
        </is>
      </c>
      <c r="E21" s="14" t="n"/>
    </row>
    <row r="22" ht="24" customHeight="1">
      <c r="A22" s="21" t="inlineStr">
        <is>
          <t>El caso se aprueba solo si se cumple todo el resultado esperado del último paso (en negrita); si cualquier parte no se cumple, se registra como Fallido.</t>
        </is>
      </c>
    </row>
  </sheetData>
  <mergeCells count="23">
    <mergeCell ref="D20:E20"/>
    <mergeCell ref="B7:C7"/>
    <mergeCell ref="D1:E1"/>
    <mergeCell ref="B12:E13"/>
    <mergeCell ref="D21:E21"/>
    <mergeCell ref="B21:C21"/>
    <mergeCell ref="D2:E2"/>
    <mergeCell ref="A12:A13"/>
    <mergeCell ref="B8:C8"/>
    <mergeCell ref="A3:B3"/>
    <mergeCell ref="G1:L1"/>
    <mergeCell ref="D16:E16"/>
    <mergeCell ref="B18:E18"/>
    <mergeCell ref="D7:E7"/>
    <mergeCell ref="B10:C10"/>
    <mergeCell ref="D4:E4"/>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5.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CP-057</t>
        </is>
      </c>
      <c r="C1" s="13" t="inlineStr">
        <is>
          <t>Descripción / Funcionalidad</t>
        </is>
      </c>
      <c r="D1" s="18" t="inlineStr">
        <is>
          <t>HU-18 · Enfrentar al fantasma espectro</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42.59999999999999"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v>46294</v>
      </c>
      <c r="I3" s="11" t="inlineStr">
        <is>
          <t>Rodriguez Castro</t>
        </is>
      </c>
      <c r="J3" s="11" t="inlineStr">
        <is>
          <t>Aprobado</t>
        </is>
      </c>
      <c r="K3" s="11" t="inlineStr">
        <is>
          <t>Aprobado. La gracia dura 3 s tras el cruce (noEatTimer = 3 al finalizar cada uno de los 25 cruces).</t>
        </is>
      </c>
      <c r="L3" s="11" t="n"/>
    </row>
    <row r="4" ht="6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Tras atravesar una pared, el contacto dentro de los 3 s no descontó vidas (3 → 3) y el espectro se veía translúcido y punteado (captura); pasados los 3 s el contacto descontó una vida (3 → 2). (Contacto provocado por script.)</t>
        </is>
      </c>
      <c r="L4" s="11" t="n"/>
    </row>
    <row r="5" ht="30" customHeight="1">
      <c r="A5" s="13" t="inlineStr">
        <is>
          <t>Prioridad (Alta, Media, Baja)</t>
        </is>
      </c>
      <c r="B5" s="18" t="inlineStr">
        <is>
          <t>Alta</t>
        </is>
      </c>
      <c r="C5" s="13" t="inlineStr">
        <is>
          <t>Técnica de diseño</t>
        </is>
      </c>
      <c r="D5" s="7" t="inlineStr">
        <is>
          <t>Tabla de decisión</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Partida en curso en el nivel 3, sin PowerUp activo, 3 vidas.</t>
        </is>
      </c>
      <c r="C10" s="14" t="n"/>
      <c r="D10" s="18" t="inlineStr">
        <is>
          <t>Modo de juego:</t>
        </is>
      </c>
      <c r="E10" s="7" t="inlineStr">
        <is>
          <t>Pacman</t>
        </is>
      </c>
    </row>
    <row r="12">
      <c r="A12" s="13" t="inlineStr">
        <is>
          <t>Título del CP</t>
        </is>
      </c>
      <c r="B12" s="34" t="inlineStr">
        <is>
          <t>Estado de gracia del espectro tras atravesar un muro</t>
        </is>
      </c>
      <c r="C12" s="14" t="n"/>
      <c r="D12" s="14" t="n"/>
      <c r="E12" s="14" t="n"/>
    </row>
    <row r="13">
      <c r="A13" s="33" t="n"/>
      <c r="B13" s="14" t="n"/>
      <c r="C13" s="14" t="n"/>
      <c r="D13" s="14" t="n"/>
      <c r="E13" s="14" t="n"/>
    </row>
    <row r="15">
      <c r="A15" s="13" t="inlineStr">
        <is>
          <t>Historias de Usuario</t>
        </is>
      </c>
      <c r="B15" s="7" t="inlineStr">
        <is>
          <t>HU-18</t>
        </is>
      </c>
      <c r="C15" s="13" t="inlineStr">
        <is>
          <t>Épica</t>
        </is>
      </c>
      <c r="D15" s="7" t="inlineStr">
        <is>
          <t>E4 — Niveles y progresión de dificultad</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16.2" customHeight="1">
      <c r="A18" s="13" t="inlineStr">
        <is>
          <t>Mutación (Entrega 2)</t>
        </is>
      </c>
      <c r="B18" s="35" t="inlineStr">
        <is>
          <t>Precondición ajustada (decisión 23): se identifica al espectro entre los cuatro tipos.</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Esperar a que un espectro atraviese una pared.</t>
        </is>
      </c>
      <c r="C21" s="14" t="n"/>
      <c r="D21" s="7" t="inlineStr">
        <is>
          <t>El espectro atraviesa la pared y se muestra con su estado de gracia.</t>
        </is>
      </c>
      <c r="E21" s="14" t="n"/>
    </row>
    <row r="22" ht="29.4" customHeight="1">
      <c r="A22" s="8" t="n">
        <v>2</v>
      </c>
      <c r="B22" s="7" t="inlineStr">
        <is>
          <t>Dirigir a Pacman al contacto con ese espectro dentro de los 3 segundos siguientes.</t>
        </is>
      </c>
      <c r="C22" s="14" t="n"/>
      <c r="D22" s="7" t="inlineStr">
        <is>
          <t>Se produce el contacto dentro de los 3 segundos posteriores al cruce.</t>
        </is>
      </c>
      <c r="E22" s="14" t="n"/>
    </row>
    <row r="23" ht="55.8" customHeight="1">
      <c r="A23" s="8" t="n">
        <v>3</v>
      </c>
      <c r="B23" s="7" t="inlineStr">
        <is>
          <t>Registrar el contador de vidas.</t>
        </is>
      </c>
      <c r="C23" s="14" t="n"/>
      <c r="D23" s="18" t="inlineStr">
        <is>
          <t>El contacto no descuenta vidas, el estado del espectro es visualmente distinguible durante esos 3 segundos, y transcurridos los 3 segundos el contacto vuelve a descontar una vida.</t>
        </is>
      </c>
      <c r="E23" s="1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6.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CP-059</t>
        </is>
      </c>
      <c r="C1" s="13" t="inlineStr">
        <is>
          <t>Descripción / Funcionalidad</t>
        </is>
      </c>
      <c r="D1" s="18" t="inlineStr">
        <is>
          <t>HU-18 · Enfrentar al fantasma espectro</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v>46294</v>
      </c>
      <c r="I3" s="11" t="inlineStr">
        <is>
          <t>Rodriguez Castro</t>
        </is>
      </c>
      <c r="J3" s="11" t="inlineStr">
        <is>
          <t>Aprobado</t>
        </is>
      </c>
      <c r="K3" s="11" t="inlineStr">
        <is>
          <t>Aprobado. Se comieron dos espectros en el mismo cuadro (van superpuestos, ver CP-020).</t>
        </is>
      </c>
      <c r="L3" s="11" t="n"/>
    </row>
    <row r="4" ht="6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Con la esfera grande el espectro pasó a vulnerable; al comerlo sumó +200 (primer fantasma de la escala) y las vidas quedaron en 3. (Fantasmas retirados y posiciones preparadas por script para aislar la condición.)</t>
        </is>
      </c>
      <c r="L4" s="11" t="n"/>
    </row>
    <row r="5" ht="30" customHeight="1">
      <c r="A5" s="13" t="inlineStr">
        <is>
          <t>Prioridad (Alta, Media, Baja)</t>
        </is>
      </c>
      <c r="B5" s="18" t="inlineStr">
        <is>
          <t>Alta</t>
        </is>
      </c>
      <c r="C5" s="13" t="inlineStr">
        <is>
          <t>Técnica de diseño</t>
        </is>
      </c>
      <c r="D5" s="7" t="inlineStr">
        <is>
          <t>Tabla de decisión</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en el nivel 3.</t>
        </is>
      </c>
      <c r="C10" s="14" t="n"/>
      <c r="D10" s="18" t="inlineStr">
        <is>
          <t>Modo de juego:</t>
        </is>
      </c>
      <c r="E10" s="7" t="inlineStr">
        <is>
          <t>Pacman</t>
        </is>
      </c>
    </row>
    <row r="12">
      <c r="A12" s="13" t="inlineStr">
        <is>
          <t>Título del CP</t>
        </is>
      </c>
      <c r="B12" s="34" t="inlineStr">
        <is>
          <t>El espectro es vulnerable durante el PowerUp</t>
        </is>
      </c>
      <c r="C12" s="14" t="n"/>
      <c r="D12" s="14" t="n"/>
      <c r="E12" s="14" t="n"/>
    </row>
    <row r="13">
      <c r="A13" s="33" t="n"/>
      <c r="B13" s="14" t="n"/>
      <c r="C13" s="14" t="n"/>
      <c r="D13" s="14" t="n"/>
      <c r="E13" s="14" t="n"/>
    </row>
    <row r="15">
      <c r="A15" s="13" t="inlineStr">
        <is>
          <t>Historias de Usuario</t>
        </is>
      </c>
      <c r="B15" s="7" t="inlineStr">
        <is>
          <t>HU-18</t>
        </is>
      </c>
      <c r="C15" s="13" t="inlineStr">
        <is>
          <t>Épica</t>
        </is>
      </c>
      <c r="D15" s="7" t="inlineStr">
        <is>
          <t>E4 — Niveles y progresión de dificultad</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ht="16.2" customHeight="1">
      <c r="A18" s="13" t="inlineStr">
        <is>
          <t>Mutación (Entrega 2)</t>
        </is>
      </c>
      <c r="B18" s="35" t="inlineStr">
        <is>
          <t>Precondición ajustada (decisión 23): se identifica al espectro entre los cuatro tipos.</t>
        </is>
      </c>
      <c r="C18" s="36" t="n"/>
      <c r="D18" s="36" t="n"/>
      <c r="E18" s="36" t="n"/>
    </row>
    <row r="20">
      <c r="A20" s="13" t="inlineStr">
        <is>
          <t>Pasos #</t>
        </is>
      </c>
      <c r="B20" s="13" t="inlineStr">
        <is>
          <t>Detalle de pasos</t>
        </is>
      </c>
      <c r="C20" s="33" t="n"/>
      <c r="D20" s="13" t="inlineStr">
        <is>
          <t>Resultado esperado</t>
        </is>
      </c>
      <c r="E20" s="33" t="n"/>
    </row>
    <row r="21" ht="29.4" customHeight="1">
      <c r="A21" s="8" t="n">
        <v>1</v>
      </c>
      <c r="B21" s="7" t="inlineStr">
        <is>
          <t>Consumir una esfera grande.</t>
        </is>
      </c>
      <c r="C21" s="14" t="n"/>
      <c r="D21" s="7" t="inlineStr">
        <is>
          <t>El PowerUp se activa y el espectro cambia a su diseño vulnerable.</t>
        </is>
      </c>
      <c r="E21" s="14" t="n"/>
    </row>
    <row r="22" ht="29.4" customHeight="1">
      <c r="A22" s="8" t="n">
        <v>2</v>
      </c>
      <c r="B22" s="7" t="inlineStr">
        <is>
          <t>Comer un espectro.</t>
        </is>
      </c>
      <c r="C22" s="14" t="n"/>
      <c r="D22" s="7" t="inlineStr">
        <is>
          <t>El espectro es comido y suma los puntos que correspondan en la escala.</t>
        </is>
      </c>
      <c r="E22" s="14" t="n"/>
    </row>
    <row r="23" ht="42.59999999999999" customHeight="1">
      <c r="A23" s="8" t="n">
        <v>3</v>
      </c>
      <c r="B23" s="7" t="inlineStr">
        <is>
          <t>Registrar el puntaje y el contador de vidas.</t>
        </is>
      </c>
      <c r="C23" s="14" t="n"/>
      <c r="D23" s="18" t="inlineStr">
        <is>
          <t>El espectro cambia a estado vulnerable, puede ser comido, suma puntos según la escala vigente y no descuenta vidas.</t>
        </is>
      </c>
      <c r="E23" s="1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7.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CP-060</t>
        </is>
      </c>
      <c r="C1" s="13" t="inlineStr">
        <is>
          <t>Descripción / Funcionalidad</t>
        </is>
      </c>
      <c r="D1" s="18" t="inlineStr">
        <is>
          <t>HU-19 · Cerrar la partida y volver a jugar</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55.8"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v>46294</v>
      </c>
      <c r="I3" s="11" t="inlineStr">
        <is>
          <t>Rodriguez Castro</t>
        </is>
      </c>
      <c r="J3" s="11" t="inlineStr">
        <is>
          <t>Aprobado</t>
        </is>
      </c>
      <c r="K3" s="11" t="inlineStr">
        <is>
          <t>Aprobado. Misma ejecución que CP-036. El botón «Volver a jugar» funcionó en todas las corridas (se usó para reiniciar partidas en CP-009 y CP-013).</t>
        </is>
      </c>
      <c r="L3" s="11" t="n"/>
    </row>
    <row r="4" ht="82.1999999999999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Última vida perdida en el nivel 1: pantalla «Game Over» con el puntaje desglosado (Esferas, Fantasmas comidos, Frutas, Bonus por tiempo, Bonus por vidas, Total) y las acciones «Volver a jugar» y «Menú principal»; «Menú principal» llevó al menú. (Vidas fijadas en 1 por script.)</t>
        </is>
      </c>
      <c r="L4" s="11" t="n"/>
    </row>
    <row r="5" ht="30" customHeight="1">
      <c r="A5" s="13" t="inlineStr">
        <is>
          <t>Prioridad (Alta, Media, Baja)</t>
        </is>
      </c>
      <c r="B5" s="18" t="inlineStr">
        <is>
          <t>Alta</t>
        </is>
      </c>
      <c r="C5" s="13" t="inlineStr">
        <is>
          <t>Técnica de diseño</t>
        </is>
      </c>
      <c r="D5" s="7" t="inlineStr">
        <is>
          <t>Transición de estados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16.2" customHeight="1">
      <c r="A10" s="8" t="n">
        <v>3</v>
      </c>
      <c r="B10" s="7" t="inlineStr">
        <is>
          <t>Partida en curso (N1), 1 vida restante.</t>
        </is>
      </c>
      <c r="C10" s="14" t="n"/>
      <c r="D10" s="18" t="inlineStr">
        <is>
          <t>Modo de juego:</t>
        </is>
      </c>
      <c r="E10" s="7" t="inlineStr">
        <is>
          <t>Pacman</t>
        </is>
      </c>
    </row>
    <row r="12">
      <c r="A12" s="13" t="inlineStr">
        <is>
          <t>Título del CP</t>
        </is>
      </c>
      <c r="B12" s="34" t="inlineStr">
        <is>
          <t>Pantalla de Game Over</t>
        </is>
      </c>
      <c r="C12" s="14" t="n"/>
      <c r="D12" s="14" t="n"/>
      <c r="E12" s="14" t="n"/>
    </row>
    <row r="13">
      <c r="A13" s="33" t="n"/>
      <c r="B13" s="14" t="n"/>
      <c r="C13" s="14" t="n"/>
      <c r="D13" s="14" t="n"/>
      <c r="E13" s="14" t="n"/>
    </row>
    <row r="15">
      <c r="A15" s="13" t="inlineStr">
        <is>
          <t>Historias de Usuario</t>
        </is>
      </c>
      <c r="B15" s="7" t="inlineStr">
        <is>
          <t>HU-19</t>
        </is>
      </c>
      <c r="C15" s="13" t="inlineStr">
        <is>
          <t>Épica</t>
        </is>
      </c>
      <c r="D15" s="7" t="inlineStr">
        <is>
          <t>E4 — Niveles y progresión de dificultad</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ht="29.4" customHeight="1">
      <c r="A18" s="13" t="inlineStr">
        <is>
          <t>Mutación (Entrega 2)</t>
        </is>
      </c>
      <c r="B18" s="35" t="inlineStr">
        <is>
          <t>Además se verifica la acción «Menú principal» (decisión 29). Resultado esperado ajustado en el último paso.</t>
        </is>
      </c>
      <c r="C18" s="36" t="n"/>
      <c r="D18" s="36" t="n"/>
      <c r="E18" s="36" t="n"/>
    </row>
    <row r="20">
      <c r="A20" s="13" t="inlineStr">
        <is>
          <t>Pasos #</t>
        </is>
      </c>
      <c r="B20" s="13" t="inlineStr">
        <is>
          <t>Detalle de pasos</t>
        </is>
      </c>
      <c r="C20" s="33" t="n"/>
      <c r="D20" s="13" t="inlineStr">
        <is>
          <t>Resultado esperado</t>
        </is>
      </c>
      <c r="E20" s="33" t="n"/>
    </row>
    <row r="21" ht="16.2" customHeight="1">
      <c r="A21" s="8" t="n">
        <v>1</v>
      </c>
      <c r="B21" s="7" t="inlineStr">
        <is>
          <t>Perder la última vida.</t>
        </is>
      </c>
      <c r="C21" s="14" t="n"/>
      <c r="D21" s="7" t="inlineStr">
        <is>
          <t>El contador de vidas queda sin íconos.</t>
        </is>
      </c>
      <c r="E21" s="14" t="n"/>
    </row>
    <row r="22" ht="42.59999999999999" customHeight="1">
      <c r="A22" s="8" t="n">
        <v>2</v>
      </c>
      <c r="B22" s="7" t="inlineStr">
        <is>
          <t>Observar la pantalla.</t>
        </is>
      </c>
      <c r="C22" s="14" t="n"/>
      <c r="D22" s="18" t="inlineStr">
        <is>
          <t>Se muestra la pantalla de Game Over con el puntaje final desglosado y las acciones «Volver a jugar» y «Menú principal»; «Menú principal» lleva al menú.</t>
        </is>
      </c>
      <c r="E22" s="1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8.xml><?xml version="1.0" encoding="utf-8"?>
<worksheet xmlns="http://schemas.openxmlformats.org/spreadsheetml/2006/main">
  <sheetPr>
    <outlinePr summaryBelow="1" summaryRight="1"/>
    <pageSetUpPr fitToPage="1"/>
  </sheetPr>
  <dimension ref="A1:L23"/>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CP-061</t>
        </is>
      </c>
      <c r="C1" s="13" t="inlineStr">
        <is>
          <t>Descripción / Funcionalidad</t>
        </is>
      </c>
      <c r="D1" s="18" t="inlineStr">
        <is>
          <t>HU-19 · Cerrar la partida y volver a jugar</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55.8"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v>46294</v>
      </c>
      <c r="I3" s="11" t="inlineStr">
        <is>
          <t>Rodriguez Castro</t>
        </is>
      </c>
      <c r="J3" s="11" t="inlineStr">
        <is>
          <t>Aprobado</t>
        </is>
      </c>
      <c r="K3" s="11" t="inlineStr">
        <is>
          <t>Aprobado. Detalle menor: detrás de la pantalla de Victoria el HUD quedó congelado mostrando el indicador de PowerUp «✨ 6.1s» que estaba activo al terminar.</t>
        </is>
      </c>
      <c r="L3" s="11" t="n"/>
    </row>
    <row r="4" ht="82.1999999999999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Completado el nivel 3: pantalla «¡Victoria!» con el puntaje desglosado (Esferas, Fantasmas comidos, Frutas, Bonus por tiempo, Bonus por vidas, Total) y las acciones «Volver a jugar» y «Menú principal»; «Menú principal» llevó al menú. (Mapa reducido por script.)</t>
        </is>
      </c>
      <c r="L4" s="11" t="n"/>
    </row>
    <row r="5" ht="30" customHeight="1">
      <c r="A5" s="13" t="inlineStr">
        <is>
          <t>Prioridad (Alta, Media, Baja)</t>
        </is>
      </c>
      <c r="B5" s="18" t="inlineStr">
        <is>
          <t>Alta</t>
        </is>
      </c>
      <c r="C5" s="13" t="inlineStr">
        <is>
          <t>Técnica de diseño</t>
        </is>
      </c>
      <c r="D5" s="7" t="inlineStr">
        <is>
          <t>Transición de estados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Partida en curso en el nivel 3, próxima a completarse.</t>
        </is>
      </c>
      <c r="C10" s="14" t="n"/>
      <c r="D10" s="18" t="inlineStr">
        <is>
          <t>Modo de juego:</t>
        </is>
      </c>
      <c r="E10" s="7" t="inlineStr">
        <is>
          <t>Pacman</t>
        </is>
      </c>
    </row>
    <row r="12">
      <c r="A12" s="13" t="inlineStr">
        <is>
          <t>Título del CP</t>
        </is>
      </c>
      <c r="B12" s="34" t="inlineStr">
        <is>
          <t>Pantalla de Victoria</t>
        </is>
      </c>
      <c r="C12" s="14" t="n"/>
      <c r="D12" s="14" t="n"/>
      <c r="E12" s="14" t="n"/>
    </row>
    <row r="13">
      <c r="A13" s="33" t="n"/>
      <c r="B13" s="14" t="n"/>
      <c r="C13" s="14" t="n"/>
      <c r="D13" s="14" t="n"/>
      <c r="E13" s="14" t="n"/>
    </row>
    <row r="15">
      <c r="A15" s="13" t="inlineStr">
        <is>
          <t>Historias de Usuario</t>
        </is>
      </c>
      <c r="B15" s="7" t="inlineStr">
        <is>
          <t>HU-19</t>
        </is>
      </c>
      <c r="C15" s="13" t="inlineStr">
        <is>
          <t>Épica</t>
        </is>
      </c>
      <c r="D15" s="7" t="inlineStr">
        <is>
          <t>E4 — Niveles y progresión de dificultad</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ht="29.4" customHeight="1">
      <c r="A18" s="13" t="inlineStr">
        <is>
          <t>Mutación (Entrega 2)</t>
        </is>
      </c>
      <c r="B18" s="35" t="inlineStr">
        <is>
          <t>Además se verifica la acción «Menú principal» (decisión 29). Resultado esperado ajustado en el último paso.</t>
        </is>
      </c>
      <c r="C18" s="36" t="n"/>
      <c r="D18" s="36" t="n"/>
      <c r="E18" s="36" t="n"/>
    </row>
    <row r="20">
      <c r="A20" s="13" t="inlineStr">
        <is>
          <t>Pasos #</t>
        </is>
      </c>
      <c r="B20" s="13" t="inlineStr">
        <is>
          <t>Detalle de pasos</t>
        </is>
      </c>
      <c r="C20" s="33" t="n"/>
      <c r="D20" s="13" t="inlineStr">
        <is>
          <t>Resultado esperado</t>
        </is>
      </c>
      <c r="E20" s="33" t="n"/>
    </row>
    <row r="21" ht="16.2" customHeight="1">
      <c r="A21" s="8" t="n">
        <v>1</v>
      </c>
      <c r="B21" s="7" t="inlineStr">
        <is>
          <t>Completar el nivel 3.</t>
        </is>
      </c>
      <c r="C21" s="14" t="n"/>
      <c r="D21" s="7" t="inlineStr">
        <is>
          <t>Se completa la última esfera del nivel 3.</t>
        </is>
      </c>
      <c r="E21" s="14" t="n"/>
    </row>
    <row r="22" ht="42.59999999999999" customHeight="1">
      <c r="A22" s="8" t="n">
        <v>2</v>
      </c>
      <c r="B22" s="7" t="inlineStr">
        <is>
          <t>Observar la pantalla.</t>
        </is>
      </c>
      <c r="C22" s="14" t="n"/>
      <c r="D22" s="18" t="inlineStr">
        <is>
          <t>Se muestra la pantalla de Victoria con el puntaje final desglosado y las acciones «Volver a jugar» y «Menú principal».</t>
        </is>
      </c>
      <c r="E22" s="14" t="n"/>
    </row>
    <row r="23" ht="24" customHeight="1">
      <c r="A23" s="21" t="inlineStr">
        <is>
          <t>El caso se aprueba solo si se cumple todo el resultado esperado del último paso (en negrita); si cualquier parte no se cumple, se registra como Fallido.</t>
        </is>
      </c>
    </row>
  </sheetData>
  <mergeCells count="25">
    <mergeCell ref="D20:E20"/>
    <mergeCell ref="B7:C7"/>
    <mergeCell ref="D1:E1"/>
    <mergeCell ref="B12:E13"/>
    <mergeCell ref="B22:C22"/>
    <mergeCell ref="D22:E22"/>
    <mergeCell ref="D21:E21"/>
    <mergeCell ref="B21:C21"/>
    <mergeCell ref="D2:E2"/>
    <mergeCell ref="A12:A13"/>
    <mergeCell ref="B8:C8"/>
    <mergeCell ref="A3:B3"/>
    <mergeCell ref="G1:L1"/>
    <mergeCell ref="D16:E16"/>
    <mergeCell ref="B18:E18"/>
    <mergeCell ref="D7:E7"/>
    <mergeCell ref="B10:C10"/>
    <mergeCell ref="D4:E4"/>
    <mergeCell ref="A23:E23"/>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39.xml><?xml version="1.0" encoding="utf-8"?>
<worksheet xmlns="http://schemas.openxmlformats.org/spreadsheetml/2006/main">
  <sheetPr>
    <outlinePr summaryBelow="1" summaryRight="1"/>
    <pageSetUpPr fitToPage="1"/>
  </sheetPr>
  <dimension ref="A1:L24"/>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CP-062</t>
        </is>
      </c>
      <c r="C1" s="13" t="inlineStr">
        <is>
          <t>Descripción / Funcionalidad</t>
        </is>
      </c>
      <c r="D1" s="18" t="inlineStr">
        <is>
          <t>HU-19 · Cerrar la partida y volver a jugar</t>
        </is>
      </c>
      <c r="E1" s="14" t="n"/>
      <c r="G1" s="30" t="inlineStr">
        <is>
          <t>Registro de ejecución</t>
        </is>
      </c>
      <c r="H1" s="5" t="n"/>
      <c r="I1" s="5" t="n"/>
      <c r="J1" s="5" t="n"/>
      <c r="K1" s="5" t="n"/>
      <c r="L1" s="5" t="n"/>
    </row>
    <row r="2">
      <c r="A2" s="13" t="inlineStr">
        <is>
          <t>Creado por</t>
        </is>
      </c>
      <c r="B2" s="18" t="inlineStr">
        <is>
          <t>Cruz, Luzzi (mutación: Luzzi)</t>
        </is>
      </c>
      <c r="C2" s="13" t="inlineStr">
        <is>
          <t>Versión</t>
        </is>
      </c>
      <c r="D2" s="18" t="inlineStr">
        <is>
          <t>2</t>
        </is>
      </c>
      <c r="E2" s="14" t="n"/>
      <c r="G2" s="16" t="inlineStr">
        <is>
          <t>Ciclo</t>
        </is>
      </c>
      <c r="H2" s="16" t="inlineStr">
        <is>
          <t>Fecha</t>
        </is>
      </c>
      <c r="I2" s="16" t="inlineStr">
        <is>
          <t>Ejecutor</t>
        </is>
      </c>
      <c r="J2" s="16" t="inlineStr">
        <is>
          <t>Estado</t>
        </is>
      </c>
      <c r="K2" s="16" t="inlineStr">
        <is>
          <t>Resultado obtenido</t>
        </is>
      </c>
      <c r="L2" s="16" t="inlineStr">
        <is>
          <t>Defecto</t>
        </is>
      </c>
    </row>
    <row r="3" ht="55.8"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v>46294</v>
      </c>
      <c r="I3" s="11" t="inlineStr">
        <is>
          <t>Rodriguez Castro</t>
        </is>
      </c>
      <c r="J3" s="11" t="inlineStr">
        <is>
          <t>Aprobado</t>
        </is>
      </c>
      <c r="K3" s="11" t="inlineStr">
        <is>
          <t>Aprobado. Nivel 1 completado con el piloto automático. Las frutas del nivel 3 se generan desde cero en cada nivel (temporizador en 0 al iniciar).</t>
        </is>
      </c>
      <c r="L3" s="11" t="n"/>
    </row>
    <row r="4" ht="82.19999999999999" customHeight="1">
      <c r="C4" s="13" t="inlineStr">
        <is>
          <t>Estado en la Entrega 1</t>
        </is>
      </c>
      <c r="D4" s="7" t="inlineStr">
        <is>
          <t>Aprobado</t>
        </is>
      </c>
      <c r="E4" s="14" t="n"/>
      <c r="G4" s="9" t="inlineStr">
        <is>
          <t>Ciclo 2</t>
        </is>
      </c>
      <c r="H4" s="15" t="n">
        <v>46307</v>
      </c>
      <c r="I4" s="11" t="inlineStr">
        <is>
          <t>Luzzi</t>
        </is>
      </c>
      <c r="J4" s="11" t="inlineStr">
        <is>
          <t>Aprobado</t>
        </is>
      </c>
      <c r="K4" s="11" t="inlineStr">
        <is>
          <t>Game Over en el nivel 2 con 1200 puntos; «Volver a jugar» inició el modo Pacman en el nivel 1 con 3 vidas, puntaje 0 y 106 esferas (mapa completo); al pasar al nivel 2 su mapa también estaba completo (131 esferas). (Mapas reducidos por script para avanzar.)</t>
        </is>
      </c>
      <c r="L4" s="11" t="n"/>
    </row>
    <row r="5" ht="30" customHeight="1">
      <c r="A5" s="13" t="inlineStr">
        <is>
          <t>Prioridad (Alta, Media, Baja)</t>
        </is>
      </c>
      <c r="B5" s="18" t="inlineStr">
        <is>
          <t>Alta</t>
        </is>
      </c>
      <c r="C5" s="13" t="inlineStr">
        <is>
          <t>Técnica de diseño</t>
        </is>
      </c>
      <c r="D5" s="7" t="inlineStr">
        <is>
          <t>Adivinación de errores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Elegir «Modo PacMan» en el menú principal y presionar Enter (HU-22).</t>
        </is>
      </c>
      <c r="C9" s="14" t="n"/>
      <c r="D9" s="18" t="inlineStr">
        <is>
          <t>Navegador:</t>
        </is>
      </c>
      <c r="E9" s="7" t="inlineStr">
        <is>
          <t>Chromium 141 de escritorio</t>
        </is>
      </c>
    </row>
    <row r="10" ht="29.4" customHeight="1">
      <c r="A10" s="8" t="n">
        <v>3</v>
      </c>
      <c r="B10" s="7" t="inlineStr">
        <is>
          <t>Partida terminada en Game Over en el nivel 3, con puntaje mayor a 0.</t>
        </is>
      </c>
      <c r="C10" s="14" t="n"/>
      <c r="D10" s="18" t="inlineStr">
        <is>
          <t>Modo de juego:</t>
        </is>
      </c>
      <c r="E10" s="7" t="inlineStr">
        <is>
          <t>Pacman</t>
        </is>
      </c>
    </row>
    <row r="12">
      <c r="A12" s="13" t="inlineStr">
        <is>
          <t>Título del CP</t>
        </is>
      </c>
      <c r="B12" s="34" t="inlineStr">
        <is>
          <t>Reinicio completo del estado al volver a jugar</t>
        </is>
      </c>
      <c r="C12" s="14" t="n"/>
      <c r="D12" s="14" t="n"/>
      <c r="E12" s="14" t="n"/>
    </row>
    <row r="13">
      <c r="A13" s="33" t="n"/>
      <c r="B13" s="14" t="n"/>
      <c r="C13" s="14" t="n"/>
      <c r="D13" s="14" t="n"/>
      <c r="E13" s="14" t="n"/>
    </row>
    <row r="15">
      <c r="A15" s="13" t="inlineStr">
        <is>
          <t>Historias de Usuario</t>
        </is>
      </c>
      <c r="B15" s="7" t="inlineStr">
        <is>
          <t>HU-19</t>
        </is>
      </c>
      <c r="C15" s="13" t="inlineStr">
        <is>
          <t>Épica</t>
        </is>
      </c>
      <c r="D15" s="7" t="inlineStr">
        <is>
          <t>E4 — Niveles y progresión de dificultad</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ht="29.4" customHeight="1">
      <c r="A18" s="13" t="inlineStr">
        <is>
          <t>Mutación (Entrega 2)</t>
        </is>
      </c>
      <c r="B18" s="35" t="inlineStr">
        <is>
          <t>Game Over en el nivel 2; se verifica además que «Volver a jugar» mantiene el modo Pacman (decisión 29).</t>
        </is>
      </c>
      <c r="C18" s="36" t="n"/>
      <c r="D18" s="36" t="n"/>
      <c r="E18" s="36" t="n"/>
    </row>
    <row r="20">
      <c r="A20" s="13" t="inlineStr">
        <is>
          <t>Pasos #</t>
        </is>
      </c>
      <c r="B20" s="13" t="inlineStr">
        <is>
          <t>Detalle de pasos</t>
        </is>
      </c>
      <c r="C20" s="33" t="n"/>
      <c r="D20" s="13" t="inlineStr">
        <is>
          <t>Resultado esperado</t>
        </is>
      </c>
      <c r="E20" s="33" t="n"/>
    </row>
    <row r="21" ht="16.2" customHeight="1">
      <c r="A21" s="8" t="n">
        <v>1</v>
      </c>
      <c r="B21" s="7" t="inlineStr">
        <is>
          <t>Usar la acción de volver a jugar.</t>
        </is>
      </c>
      <c r="C21" s="14" t="n"/>
      <c r="D21" s="7" t="inlineStr">
        <is>
          <t>Se inicia una partida nueva.</t>
        </is>
      </c>
      <c r="E21" s="14" t="n"/>
    </row>
    <row r="22" ht="29.4" customHeight="1">
      <c r="A22" s="8" t="n">
        <v>2</v>
      </c>
      <c r="B22" s="7" t="inlineStr">
        <is>
          <t>Verificar nivel, vidas, puntaje y estado de los mapas.</t>
        </is>
      </c>
      <c r="C22" s="14" t="n"/>
      <c r="D22" s="7" t="inlineStr">
        <is>
          <t>Nivel 1, 3 vidas, puntaje 0 y el mapa completo con todas sus esferas.</t>
        </is>
      </c>
      <c r="E22" s="14" t="n"/>
    </row>
    <row r="23" ht="42.59999999999999" customHeight="1">
      <c r="A23" s="8" t="n">
        <v>3</v>
      </c>
      <c r="B23" s="7" t="inlineStr">
        <is>
          <t>Completar el nivel 1 y verificar el mapa del nivel 2.</t>
        </is>
      </c>
      <c r="C23" s="14" t="n"/>
      <c r="D23" s="18" t="inlineStr">
        <is>
          <t>La partida nueva inicia en el nivel 1 con 3 vidas y puntaje 0, con todas las esferas y frutas restablecidas en el nivel 1 y también en los niveles siguientes.</t>
        </is>
      </c>
      <c r="E23" s="14" t="n"/>
    </row>
    <row r="24" ht="24" customHeight="1">
      <c r="A24" s="21" t="inlineStr">
        <is>
          <t>El caso se aprueba solo si se cumple todo el resultado esperado del último paso (en negrita); si cualquier parte no se cumple, se registra como Fallido.</t>
        </is>
      </c>
    </row>
  </sheetData>
  <mergeCells count="27">
    <mergeCell ref="D20:E20"/>
    <mergeCell ref="B7:C7"/>
    <mergeCell ref="A24:E24"/>
    <mergeCell ref="D1:E1"/>
    <mergeCell ref="B12:E13"/>
    <mergeCell ref="B22:C22"/>
    <mergeCell ref="D22:E22"/>
    <mergeCell ref="D21:E21"/>
    <mergeCell ref="B21:C21"/>
    <mergeCell ref="D2:E2"/>
    <mergeCell ref="A12:A13"/>
    <mergeCell ref="B23:C23"/>
    <mergeCell ref="B8:C8"/>
    <mergeCell ref="A3:B3"/>
    <mergeCell ref="G1:L1"/>
    <mergeCell ref="D16:E16"/>
    <mergeCell ref="B18:E18"/>
    <mergeCell ref="D7:E7"/>
    <mergeCell ref="B10:C10"/>
    <mergeCell ref="D4:E4"/>
    <mergeCell ref="B9:C9"/>
    <mergeCell ref="D3:E3"/>
    <mergeCell ref="G6:L7"/>
    <mergeCell ref="D15:E15"/>
    <mergeCell ref="B20:C20"/>
    <mergeCell ref="D5:E5"/>
    <mergeCell ref="D23:E23"/>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0.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CP-067</t>
        </is>
      </c>
      <c r="C1" s="13" t="inlineStr">
        <is>
          <t>Descripción / Funcionalidad</t>
        </is>
      </c>
      <c r="D1" s="18" t="inlineStr">
        <is>
          <t>HU-22 · Elegir el modo de juego</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55.8"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Menú con «Modo PacMan» (seleccionada) y «Modo GhostMan». Enter inicia el modo Pacman en el nivel 1; ← mueve a Pacman; 3 íconos de Pacman en la barra inferior.</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Aplicación recién abierta, con el menú principal en pantalla.</t>
        </is>
      </c>
      <c r="C9" s="14" t="n"/>
      <c r="D9" s="18" t="inlineStr">
        <is>
          <t>Navegador:</t>
        </is>
      </c>
      <c r="E9" s="7" t="inlineStr">
        <is>
          <t>Chromium 141 de escritorio</t>
        </is>
      </c>
    </row>
    <row r="10" ht="16.2" customHeight="1">
      <c r="A10" s="8" t="n"/>
      <c r="B10" s="7" t="n"/>
      <c r="C10" s="14" t="n"/>
      <c r="D10" s="18" t="inlineStr">
        <is>
          <t>Modo:</t>
        </is>
      </c>
      <c r="E10" s="7" t="inlineStr">
        <is>
          <t>Pacman</t>
        </is>
      </c>
    </row>
    <row r="12">
      <c r="A12" s="13" t="inlineStr">
        <is>
          <t>Título del CP</t>
        </is>
      </c>
      <c r="B12" s="34" t="inlineStr">
        <is>
          <t>Selección del modo Pacman</t>
        </is>
      </c>
      <c r="C12" s="14" t="n"/>
      <c r="D12" s="14" t="n"/>
      <c r="E12" s="14" t="n"/>
    </row>
    <row r="13">
      <c r="A13" s="33" t="n"/>
      <c r="B13" s="14" t="n"/>
      <c r="C13" s="14" t="n"/>
      <c r="D13" s="14" t="n"/>
      <c r="E13" s="14" t="n"/>
    </row>
    <row r="15">
      <c r="A15" s="13" t="inlineStr">
        <is>
          <t>Historias de Usuario</t>
        </is>
      </c>
      <c r="B15" s="7" t="inlineStr">
        <is>
          <t>HU-22</t>
        </is>
      </c>
      <c r="C15" s="13" t="inlineStr">
        <is>
          <t>Épica</t>
        </is>
      </c>
      <c r="D15" s="7" t="inlineStr">
        <is>
          <t>E6 — Modo GhostMan</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c r="A18" s="13" t="inlineStr">
        <is>
          <t>Pasos #</t>
        </is>
      </c>
      <c r="B18" s="13" t="inlineStr">
        <is>
          <t>Detalle de pasos</t>
        </is>
      </c>
      <c r="C18" s="33" t="n"/>
      <c r="D18" s="13" t="inlineStr">
        <is>
          <t>Resultado esperado</t>
        </is>
      </c>
      <c r="E18" s="33" t="n"/>
    </row>
    <row r="19" ht="29.4" customHeight="1">
      <c r="A19" s="8" t="n">
        <v>1</v>
      </c>
      <c r="B19" s="7" t="inlineStr">
        <is>
          <t>Observar el menú principal.</t>
        </is>
      </c>
      <c r="C19" s="14" t="n"/>
      <c r="D19" s="7" t="inlineStr">
        <is>
          <t>Se muestran dos opciones, «Modo PacMan» y «Modo GhostMan», con «Modo PacMan» seleccionada.</t>
        </is>
      </c>
      <c r="E19" s="14" t="n"/>
    </row>
    <row r="20" ht="42.59999999999999" customHeight="1">
      <c r="A20" s="8" t="n">
        <v>2</v>
      </c>
      <c r="B20" s="7" t="inlineStr">
        <is>
          <t>Presionar Enter.</t>
        </is>
      </c>
      <c r="C20" s="14" t="n"/>
      <c r="D20" s="18" t="inlineStr">
        <is>
          <t>Empieza una partida en el nivel 1 en la que el jugador controla a Pacman con las flechas, con 3 vidas con íconos de Pacman abajo a la izquierda.</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1.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CP-068</t>
        </is>
      </c>
      <c r="C1" s="13" t="inlineStr">
        <is>
          <t>Descripción / Funcionalidad</t>
        </is>
      </c>
      <c r="D1" s="18" t="inlineStr">
        <is>
          <t>HU-22 · Elegir el modo de juego</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30"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 selecciona «Modo GhostMan»; Enter abre el carrusel con «Clásico» en el centro.</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16.2" customHeight="1">
      <c r="A9" s="8" t="n">
        <v>2</v>
      </c>
      <c r="B9" s="7" t="inlineStr">
        <is>
          <t>Menú principal en pantalla.</t>
        </is>
      </c>
      <c r="C9" s="14" t="n"/>
      <c r="D9" s="18" t="inlineStr">
        <is>
          <t>Navegador:</t>
        </is>
      </c>
      <c r="E9" s="7" t="inlineStr">
        <is>
          <t>Chromium 141 de escritorio</t>
        </is>
      </c>
    </row>
    <row r="10" ht="16.2" customHeight="1">
      <c r="A10" s="8" t="n"/>
      <c r="B10" s="7" t="n"/>
      <c r="C10" s="14" t="n"/>
      <c r="D10" s="18" t="inlineStr">
        <is>
          <t>Modo:</t>
        </is>
      </c>
      <c r="E10" s="7" t="inlineStr">
        <is>
          <t>GhostMan</t>
        </is>
      </c>
    </row>
    <row r="12">
      <c r="A12" s="13" t="inlineStr">
        <is>
          <t>Título del CP</t>
        </is>
      </c>
      <c r="B12" s="34" t="inlineStr">
        <is>
          <t>Selección del modo GhostMan</t>
        </is>
      </c>
      <c r="C12" s="14" t="n"/>
      <c r="D12" s="14" t="n"/>
      <c r="E12" s="14" t="n"/>
    </row>
    <row r="13">
      <c r="A13" s="33" t="n"/>
      <c r="B13" s="14" t="n"/>
      <c r="C13" s="14" t="n"/>
      <c r="D13" s="14" t="n"/>
      <c r="E13" s="14" t="n"/>
    </row>
    <row r="15">
      <c r="A15" s="13" t="inlineStr">
        <is>
          <t>Historias de Usuario</t>
        </is>
      </c>
      <c r="B15" s="7" t="inlineStr">
        <is>
          <t>HU-22</t>
        </is>
      </c>
      <c r="C15" s="13" t="inlineStr">
        <is>
          <t>Épica</t>
        </is>
      </c>
      <c r="D15" s="7" t="inlineStr">
        <is>
          <t>E6 — Modo GhostMan</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c r="A18" s="13" t="inlineStr">
        <is>
          <t>Pasos #</t>
        </is>
      </c>
      <c r="B18" s="13" t="inlineStr">
        <is>
          <t>Detalle de pasos</t>
        </is>
      </c>
      <c r="C18" s="33" t="n"/>
      <c r="D18" s="13" t="inlineStr">
        <is>
          <t>Resultado esperado</t>
        </is>
      </c>
      <c r="E18" s="33" t="n"/>
    </row>
    <row r="19" ht="16.2" customHeight="1">
      <c r="A19" s="8" t="n">
        <v>1</v>
      </c>
      <c r="B19" s="7" t="inlineStr">
        <is>
          <t>Presionar ↓ (o S).</t>
        </is>
      </c>
      <c r="C19" s="14" t="n"/>
      <c r="D19" s="7" t="inlineStr">
        <is>
          <t>La selección pasa a «Modo GhostMan».</t>
        </is>
      </c>
      <c r="E19" s="14" t="n"/>
    </row>
    <row r="20" ht="29.4" customHeight="1">
      <c r="A20" s="8" t="n">
        <v>2</v>
      </c>
      <c r="B20" s="7" t="inlineStr">
        <is>
          <t>Presionar Enter.</t>
        </is>
      </c>
      <c r="C20" s="14" t="n"/>
      <c r="D20" s="18" t="inlineStr">
        <is>
          <t>Se abre el carrusel de selección de fantasma, con el Clásico en el centro.</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2.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CP-069</t>
        </is>
      </c>
      <c r="C1" s="13" t="inlineStr">
        <is>
          <t>Descripción / Funcionalidad</t>
        </is>
      </c>
      <c r="D1" s="18" t="inlineStr">
        <is>
          <t>HU-22 · Elegir el modo de juego</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Modo Pacman: barra «Vidas» con 3 íconos de Pacman. Modo GhostMan: «Vidas de Pacman» con 3 íconos de fantasma.</t>
        </is>
      </c>
      <c r="L4" s="11" t="n"/>
    </row>
    <row r="5" ht="30" customHeight="1">
      <c r="A5" s="13" t="inlineStr">
        <is>
          <t>Prioridad (Alta, Media, Baja)</t>
        </is>
      </c>
      <c r="B5" s="18" t="inlineStr">
        <is>
          <t>Media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16.2" customHeight="1">
      <c r="A9" s="8" t="n">
        <v>2</v>
      </c>
      <c r="B9" s="7" t="inlineStr">
        <is>
          <t>Menú principal en pantalla.</t>
        </is>
      </c>
      <c r="C9" s="14" t="n"/>
      <c r="D9" s="18" t="inlineStr">
        <is>
          <t>Navegador:</t>
        </is>
      </c>
      <c r="E9" s="7" t="inlineStr">
        <is>
          <t>Chromium 141 de escritorio</t>
        </is>
      </c>
    </row>
    <row r="10" ht="16.2" customHeight="1">
      <c r="A10" s="8" t="n"/>
      <c r="B10" s="7" t="n"/>
      <c r="C10" s="14" t="n"/>
      <c r="D10" s="18" t="inlineStr">
        <is>
          <t>Fantasma:</t>
        </is>
      </c>
      <c r="E10" s="7" t="inlineStr">
        <is>
          <t>Espectro</t>
        </is>
      </c>
    </row>
    <row r="12">
      <c r="A12" s="13" t="inlineStr">
        <is>
          <t>Título del CP</t>
        </is>
      </c>
      <c r="B12" s="34" t="inlineStr">
        <is>
          <t>Ícono de vidas según el modo</t>
        </is>
      </c>
      <c r="C12" s="14" t="n"/>
      <c r="D12" s="14" t="n"/>
      <c r="E12" s="14" t="n"/>
    </row>
    <row r="13">
      <c r="A13" s="33" t="n"/>
      <c r="B13" s="14" t="n"/>
      <c r="C13" s="14" t="n"/>
      <c r="D13" s="14" t="n"/>
      <c r="E13" s="14" t="n"/>
    </row>
    <row r="15">
      <c r="A15" s="13" t="inlineStr">
        <is>
          <t>Historias de Usuario</t>
        </is>
      </c>
      <c r="B15" s="7" t="inlineStr">
        <is>
          <t>HU-22</t>
        </is>
      </c>
      <c r="C15" s="13" t="inlineStr">
        <is>
          <t>Épica</t>
        </is>
      </c>
      <c r="D15" s="7" t="inlineStr">
        <is>
          <t>E6 — Modo GhostMan</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29.4" customHeight="1">
      <c r="A19" s="8" t="n">
        <v>1</v>
      </c>
      <c r="B19" s="7" t="inlineStr">
        <is>
          <t>Iniciar el modo PacMan y observar la barra inferior.</t>
        </is>
      </c>
      <c r="C19" s="14" t="n"/>
      <c r="D19" s="7" t="inlineStr">
        <is>
          <t>Barra «Vidas» abajo a la izquierda con 3 íconos de Pacman.</t>
        </is>
      </c>
      <c r="E19" s="14" t="n"/>
    </row>
    <row r="20" ht="29.4" customHeight="1">
      <c r="A20" s="8" t="n">
        <v>2</v>
      </c>
      <c r="B20" s="7" t="inlineStr">
        <is>
          <t>Recargar la página, iniciar el modo GhostMan con el espectro y observar la barra inferior.</t>
        </is>
      </c>
      <c r="C20" s="14" t="n"/>
      <c r="D20" s="18" t="inlineStr">
        <is>
          <t>Barra «Vidas de Pacman» abajo a la izquierda con 3 íconos de fantasma: el ícono identifica el modo.</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3.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CP-070</t>
        </is>
      </c>
      <c r="C1" s="13" t="inlineStr">
        <is>
          <t>Descripción / Funcionalidad</t>
        </is>
      </c>
      <c r="D1" s="18" t="inlineStr">
        <is>
          <t>HU-23 · Seleccionar el fantasma con el que jugar</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Tipos en orden: Clásico, Espectro, Saltarín, Naval, Acelerado. Cada uno con su nombre debajo y la descripción del poder como subtítulo.</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16.2" customHeight="1">
      <c r="A9" s="8" t="n">
        <v>2</v>
      </c>
      <c r="B9" s="7" t="inlineStr">
        <is>
          <t>Carrusel de selección abierto.</t>
        </is>
      </c>
      <c r="C9" s="14" t="n"/>
      <c r="D9" s="18" t="inlineStr">
        <is>
          <t>Navegador:</t>
        </is>
      </c>
      <c r="E9" s="7" t="inlineStr">
        <is>
          <t>Chromium 141 de escritorio</t>
        </is>
      </c>
    </row>
    <row r="11">
      <c r="A11" s="13" t="inlineStr">
        <is>
          <t>Título del CP</t>
        </is>
      </c>
      <c r="B11" s="34" t="inlineStr">
        <is>
          <t>Contenido del carrusel de fantasmas</t>
        </is>
      </c>
      <c r="C11" s="14" t="n"/>
      <c r="D11" s="14" t="n"/>
      <c r="E11" s="14" t="n"/>
    </row>
    <row r="12">
      <c r="A12" s="33" t="n"/>
      <c r="B12" s="14" t="n"/>
      <c r="C12" s="14" t="n"/>
      <c r="D12" s="14" t="n"/>
      <c r="E12" s="14" t="n"/>
    </row>
    <row r="14">
      <c r="A14" s="13" t="inlineStr">
        <is>
          <t>Historias de Usuario</t>
        </is>
      </c>
      <c r="B14" s="7" t="inlineStr">
        <is>
          <t>HU-23</t>
        </is>
      </c>
      <c r="C14" s="13" t="inlineStr">
        <is>
          <t>Épica</t>
        </is>
      </c>
      <c r="D14" s="7" t="inlineStr">
        <is>
          <t>E6 — Modo GhostMan</t>
        </is>
      </c>
      <c r="E14" s="14" t="n"/>
    </row>
    <row r="15" ht="28" customHeight="1">
      <c r="A15" s="13" t="inlineStr">
        <is>
          <t>Estado Automatización</t>
        </is>
      </c>
      <c r="B15" s="7" t="inlineStr">
        <is>
          <t>Automatizado (script de navegador, Entrega 2)</t>
        </is>
      </c>
      <c r="C15" s="13" t="inlineStr">
        <is>
          <t>Camino feliz</t>
        </is>
      </c>
      <c r="D15" s="7" t="inlineStr">
        <is>
          <t>Sí</t>
        </is>
      </c>
      <c r="E15" s="14" t="n"/>
    </row>
    <row r="17">
      <c r="A17" s="13" t="inlineStr">
        <is>
          <t>Pasos #</t>
        </is>
      </c>
      <c r="B17" s="13" t="inlineStr">
        <is>
          <t>Detalle de pasos</t>
        </is>
      </c>
      <c r="C17" s="33" t="n"/>
      <c r="D17" s="13" t="inlineStr">
        <is>
          <t>Resultado esperado</t>
        </is>
      </c>
      <c r="E17" s="33" t="n"/>
    </row>
    <row r="18" ht="29.4" customHeight="1">
      <c r="A18" s="8" t="n">
        <v>1</v>
      </c>
      <c r="B18" s="7" t="inlineStr">
        <is>
          <t>Observar el carrusel al abrirse.</t>
        </is>
      </c>
      <c r="C18" s="14" t="n"/>
      <c r="D18" s="7" t="inlineStr">
        <is>
          <t>El Clásico está en el centro, con su nombre debajo y la descripción de su poder como subtítulo.</t>
        </is>
      </c>
      <c r="E18" s="14" t="n"/>
    </row>
    <row r="19" ht="42.59999999999999" customHeight="1">
      <c r="A19" s="8" t="n">
        <v>2</v>
      </c>
      <c r="B19" s="7" t="inlineStr">
        <is>
          <t>Presionar → cuatro veces, anotando nombre y descripción de cada tipo.</t>
        </is>
      </c>
      <c r="C19" s="14" t="n"/>
      <c r="D19" s="18" t="inlineStr">
        <is>
          <t>Se presentan los 5 tipos en orden Clásico, Espectro, Saltarín, Naval y Acelerado, cada uno con su nombre y la descripción de su poder.</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4.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CP-071</t>
        </is>
      </c>
      <c r="C1" s="13" t="inlineStr">
        <is>
          <t>Descripción / Funcionalidad</t>
        </is>
      </c>
      <c r="D1" s="18" t="inlineStr">
        <is>
          <t>HU-23 · Seleccionar el fantasma con el que jugar</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30"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 → Acelerado; D → Clásico; A → Acelerado.</t>
        </is>
      </c>
      <c r="L4" s="11" t="n"/>
    </row>
    <row r="5" ht="30" customHeight="1">
      <c r="A5" s="13" t="inlineStr">
        <is>
          <t>Prioridad (Alta, Media, Baja)</t>
        </is>
      </c>
      <c r="B5" s="18" t="inlineStr">
        <is>
          <t>Media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16.2" customHeight="1">
      <c r="A9" s="8" t="n">
        <v>2</v>
      </c>
      <c r="B9" s="7" t="inlineStr">
        <is>
          <t>Carrusel abierto con el Clásico en el centro.</t>
        </is>
      </c>
      <c r="C9" s="14" t="n"/>
      <c r="D9" s="18" t="inlineStr">
        <is>
          <t>Navegador:</t>
        </is>
      </c>
      <c r="E9" s="7" t="inlineStr">
        <is>
          <t>Chromium 141 de escritorio</t>
        </is>
      </c>
    </row>
    <row r="11">
      <c r="A11" s="13" t="inlineStr">
        <is>
          <t>Título del CP</t>
        </is>
      </c>
      <c r="B11" s="34" t="inlineStr">
        <is>
          <t>Navegación circular del carrusel</t>
        </is>
      </c>
      <c r="C11" s="14" t="n"/>
      <c r="D11" s="14" t="n"/>
      <c r="E11" s="14" t="n"/>
    </row>
    <row r="12">
      <c r="A12" s="33" t="n"/>
      <c r="B12" s="14" t="n"/>
      <c r="C12" s="14" t="n"/>
      <c r="D12" s="14" t="n"/>
      <c r="E12" s="14" t="n"/>
    </row>
    <row r="14">
      <c r="A14" s="13" t="inlineStr">
        <is>
          <t>Historias de Usuario</t>
        </is>
      </c>
      <c r="B14" s="7" t="inlineStr">
        <is>
          <t>HU-23</t>
        </is>
      </c>
      <c r="C14" s="13" t="inlineStr">
        <is>
          <t>Épica</t>
        </is>
      </c>
      <c r="D14" s="7" t="inlineStr">
        <is>
          <t>E6 — Modo GhostMan</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Presionar ←.</t>
        </is>
      </c>
      <c r="C18" s="14" t="n"/>
      <c r="D18" s="7" t="inlineStr">
        <is>
          <t>Queda seleccionado el Acelerado (el último).</t>
        </is>
      </c>
      <c r="E18" s="14" t="n"/>
    </row>
    <row r="19" ht="16.2" customHeight="1">
      <c r="A19" s="8" t="n">
        <v>2</v>
      </c>
      <c r="B19" s="7" t="inlineStr">
        <is>
          <t>Presionar D.</t>
        </is>
      </c>
      <c r="C19" s="14" t="n"/>
      <c r="D19" s="7" t="inlineStr">
        <is>
          <t>Vuelve al Clásico (el primero).</t>
        </is>
      </c>
      <c r="E19" s="14" t="n"/>
    </row>
    <row r="20" ht="29.4" customHeight="1">
      <c r="A20" s="8" t="n">
        <v>3</v>
      </c>
      <c r="B20" s="7" t="inlineStr">
        <is>
          <t>Presionar A.</t>
        </is>
      </c>
      <c r="C20" s="14" t="n"/>
      <c r="D20" s="18" t="inlineStr">
        <is>
          <t>El carrusel es circular en los dos sentidos, con flechas y con A/D: queda otra vez el Acelerado.</t>
        </is>
      </c>
      <c r="E20" s="14" t="n"/>
    </row>
    <row r="21" ht="24" customHeight="1">
      <c r="A21" s="21" t="inlineStr">
        <is>
          <t>El caso se aprueba solo si se cumple todo el resultado esperado del último paso (en negrita); si cualquier parte no se cumple, se registra como Fallido.</t>
        </is>
      </c>
    </row>
  </sheetData>
  <mergeCells count="25">
    <mergeCell ref="D20:E20"/>
    <mergeCell ref="B7:C7"/>
    <mergeCell ref="D1:E1"/>
    <mergeCell ref="D19:E19"/>
    <mergeCell ref="B11:E12"/>
    <mergeCell ref="B18:C18"/>
    <mergeCell ref="D2:E2"/>
    <mergeCell ref="B17:C17"/>
    <mergeCell ref="B8:C8"/>
    <mergeCell ref="D17:E17"/>
    <mergeCell ref="A3:B3"/>
    <mergeCell ref="A21:E21"/>
    <mergeCell ref="G1:L1"/>
    <mergeCell ref="D7:E7"/>
    <mergeCell ref="B19:C19"/>
    <mergeCell ref="D4:E4"/>
    <mergeCell ref="D18:E18"/>
    <mergeCell ref="B9:C9"/>
    <mergeCell ref="D3:E3"/>
    <mergeCell ref="G6:L7"/>
    <mergeCell ref="D15:E15"/>
    <mergeCell ref="B20:C20"/>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5.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CP-072</t>
        </is>
      </c>
      <c r="C1" s="13" t="inlineStr">
        <is>
          <t>Descripción / Funcionalidad</t>
        </is>
      </c>
      <c r="D1" s="18" t="inlineStr">
        <is>
          <t>HU-23 · Seleccionar el fantasma con el que jugar</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Enter con el Naval en el centro inicia el modo GhostMan con el Naval (velocidad 4 celdas/s) en la esquina superior izquierda.</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16.2" customHeight="1">
      <c r="A9" s="8" t="n">
        <v>2</v>
      </c>
      <c r="B9" s="7" t="inlineStr">
        <is>
          <t>Carrusel abierto.</t>
        </is>
      </c>
      <c r="C9" s="14" t="n"/>
      <c r="D9" s="18" t="inlineStr">
        <is>
          <t>Navegador:</t>
        </is>
      </c>
      <c r="E9" s="7" t="inlineStr">
        <is>
          <t>Chromium 141 de escritorio</t>
        </is>
      </c>
    </row>
    <row r="10" ht="16.2" customHeight="1">
      <c r="A10" s="8" t="n"/>
      <c r="B10" s="7" t="n"/>
      <c r="C10" s="14" t="n"/>
      <c r="D10" s="18" t="inlineStr">
        <is>
          <t>Fantasma:</t>
        </is>
      </c>
      <c r="E10" s="7" t="inlineStr">
        <is>
          <t>Naval</t>
        </is>
      </c>
    </row>
    <row r="12">
      <c r="A12" s="13" t="inlineStr">
        <is>
          <t>Título del CP</t>
        </is>
      </c>
      <c r="B12" s="34" t="inlineStr">
        <is>
          <t>Confirmación con Enter</t>
        </is>
      </c>
      <c r="C12" s="14" t="n"/>
      <c r="D12" s="14" t="n"/>
      <c r="E12" s="14" t="n"/>
    </row>
    <row r="13">
      <c r="A13" s="33" t="n"/>
      <c r="B13" s="14" t="n"/>
      <c r="C13" s="14" t="n"/>
      <c r="D13" s="14" t="n"/>
      <c r="E13" s="14" t="n"/>
    </row>
    <row r="15">
      <c r="A15" s="13" t="inlineStr">
        <is>
          <t>Historias de Usuario</t>
        </is>
      </c>
      <c r="B15" s="7" t="inlineStr">
        <is>
          <t>HU-23</t>
        </is>
      </c>
      <c r="C15" s="13" t="inlineStr">
        <is>
          <t>Épica</t>
        </is>
      </c>
      <c r="D15" s="7" t="inlineStr">
        <is>
          <t>E6 — Modo GhostMan</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c r="A18" s="13" t="inlineStr">
        <is>
          <t>Pasos #</t>
        </is>
      </c>
      <c r="B18" s="13" t="inlineStr">
        <is>
          <t>Detalle de pasos</t>
        </is>
      </c>
      <c r="C18" s="33" t="n"/>
      <c r="D18" s="13" t="inlineStr">
        <is>
          <t>Resultado esperado</t>
        </is>
      </c>
      <c r="E18" s="33" t="n"/>
    </row>
    <row r="19" ht="16.2" customHeight="1">
      <c r="A19" s="8" t="n">
        <v>1</v>
      </c>
      <c r="B19" s="7" t="inlineStr">
        <is>
          <t>Presionar → hasta dejar al Naval en el centro.</t>
        </is>
      </c>
      <c r="C19" s="14" t="n"/>
      <c r="D19" s="7" t="inlineStr">
        <is>
          <t>El Naval está en el centro.</t>
        </is>
      </c>
      <c r="E19" s="14" t="n"/>
    </row>
    <row r="20" ht="42.59999999999999" customHeight="1">
      <c r="A20" s="8" t="n">
        <v>2</v>
      </c>
      <c r="B20" s="7" t="inlineStr">
        <is>
          <t>Presionar Enter.</t>
        </is>
      </c>
      <c r="C20" s="14" t="n"/>
      <c r="D20" s="18" t="inlineStr">
        <is>
          <t>Empieza la partida en modo GhostMan con el Naval como fantasma del jugador (marca de onda, esquina superior izquierda).</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6.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CP-073</t>
        </is>
      </c>
      <c r="C1" s="13" t="inlineStr">
        <is>
          <t>Descripción / Funcionalidad</t>
        </is>
      </c>
      <c r="D1" s="18" t="inlineStr">
        <is>
          <t>HU-23 · Seleccionar el fantasma con el que jugar</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Con ← → A D Enter durante 4 s el carrusel no se abre; tras pausar y reanudar el fantasma sigue siendo el Espectro.</t>
        </is>
      </c>
      <c r="L4" s="11" t="n"/>
    </row>
    <row r="5" ht="30" customHeight="1">
      <c r="A5" s="13" t="inlineStr">
        <is>
          <t>Prioridad (Alta, Media, Baja)</t>
        </is>
      </c>
      <c r="B5" s="18" t="inlineStr">
        <is>
          <t>Alta</t>
        </is>
      </c>
      <c r="C5" s="13" t="inlineStr">
        <is>
          <t>Técnica de diseño</t>
        </is>
      </c>
      <c r="D5" s="7" t="inlineStr">
        <is>
          <t>Adivinación de errores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con el Espectro.</t>
        </is>
      </c>
      <c r="C9" s="14" t="n"/>
      <c r="D9" s="18" t="inlineStr">
        <is>
          <t>Navegador:</t>
        </is>
      </c>
      <c r="E9" s="7" t="inlineStr">
        <is>
          <t>Chromium 141 de escritorio</t>
        </is>
      </c>
    </row>
    <row r="10" ht="16.2" customHeight="1">
      <c r="A10" s="8" t="n"/>
      <c r="B10" s="7" t="n"/>
      <c r="C10" s="14" t="n"/>
      <c r="D10" s="18" t="inlineStr">
        <is>
          <t>Fantasma:</t>
        </is>
      </c>
      <c r="E10" s="7" t="inlineStr">
        <is>
          <t>Espectro</t>
        </is>
      </c>
    </row>
    <row r="12">
      <c r="A12" s="13" t="inlineStr">
        <is>
          <t>Título del CP</t>
        </is>
      </c>
      <c r="B12" s="34" t="inlineStr">
        <is>
          <t>Inmutabilidad de la selección</t>
        </is>
      </c>
      <c r="C12" s="14" t="n"/>
      <c r="D12" s="14" t="n"/>
      <c r="E12" s="14" t="n"/>
    </row>
    <row r="13">
      <c r="A13" s="33" t="n"/>
      <c r="B13" s="14" t="n"/>
      <c r="C13" s="14" t="n"/>
      <c r="D13" s="14" t="n"/>
      <c r="E13" s="14" t="n"/>
    </row>
    <row r="15">
      <c r="A15" s="13" t="inlineStr">
        <is>
          <t>Historias de Usuario</t>
        </is>
      </c>
      <c r="B15" s="7" t="inlineStr">
        <is>
          <t>HU-23</t>
        </is>
      </c>
      <c r="C15" s="13" t="inlineStr">
        <is>
          <t>Épica</t>
        </is>
      </c>
      <c r="D15" s="7" t="inlineStr">
        <is>
          <t>E6 — Modo GhostMan</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29.4" customHeight="1">
      <c r="A19" s="8" t="n">
        <v>1</v>
      </c>
      <c r="B19" s="7" t="inlineStr">
        <is>
          <t>Presionar ←, →, A, D y Enter durante 5 s.</t>
        </is>
      </c>
      <c r="C19" s="14" t="n"/>
      <c r="D19" s="7" t="inlineStr">
        <is>
          <t>El fantasma se mueve con las teclas; no se abre el carrusel.</t>
        </is>
      </c>
      <c r="E19" s="14" t="n"/>
    </row>
    <row r="20" ht="29.4" customHeight="1">
      <c r="A20" s="8" t="n">
        <v>2</v>
      </c>
      <c r="B20" s="7" t="inlineStr">
        <is>
          <t>Pausar y reanudar con ESC, y observar el fantasma.</t>
        </is>
      </c>
      <c r="C20" s="14" t="n"/>
      <c r="D20" s="18" t="inlineStr">
        <is>
          <t>El fantasma del jugador sigue siendo el Espectro (translúcido): el tipo no cambia durante la partida.</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7.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CP-074</t>
        </is>
      </c>
      <c r="C1" s="13" t="inlineStr">
        <is>
          <t>Descripción / Funcionalidad</t>
        </is>
      </c>
      <c r="D1" s="18" t="inlineStr">
        <is>
          <t>HU-24 · Controlar al fantasma por el mapa</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6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Con ↓ → el fantasma bajó y giró a la derecha (celda 4,6); con W A subió y giró a la izquierda (celda 4,3). Precondición preparada por script (posiciones y fantasmas de la IA retirados) para aislar la condición.</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16.2" customHeight="1">
      <c r="A9" s="8" t="n">
        <v>2</v>
      </c>
      <c r="B9" s="7" t="inlineStr">
        <is>
          <t>Partida en curso en modo GhostMan (GM), nivel 1.</t>
        </is>
      </c>
      <c r="C9" s="14" t="n"/>
      <c r="D9" s="18" t="inlineStr">
        <is>
          <t>Navegador:</t>
        </is>
      </c>
      <c r="E9" s="7" t="inlineStr">
        <is>
          <t>Chromium 141 de escritorio</t>
        </is>
      </c>
    </row>
    <row r="10" ht="16.2" customHeight="1">
      <c r="A10" s="8" t="n"/>
      <c r="B10" s="7" t="n"/>
      <c r="C10" s="14" t="n"/>
      <c r="D10" s="18" t="inlineStr">
        <is>
          <t>Fantasma:</t>
        </is>
      </c>
      <c r="E10" s="7" t="inlineStr">
        <is>
          <t>Clásico</t>
        </is>
      </c>
    </row>
    <row r="12">
      <c r="A12" s="13" t="inlineStr">
        <is>
          <t>Título del CP</t>
        </is>
      </c>
      <c r="B12" s="34" t="inlineStr">
        <is>
          <t>Control del fantasma con flechas y WASD</t>
        </is>
      </c>
      <c r="C12" s="14" t="n"/>
      <c r="D12" s="14" t="n"/>
      <c r="E12" s="14" t="n"/>
    </row>
    <row r="13">
      <c r="A13" s="33" t="n"/>
      <c r="B13" s="14" t="n"/>
      <c r="C13" s="14" t="n"/>
      <c r="D13" s="14" t="n"/>
      <c r="E13" s="14" t="n"/>
    </row>
    <row r="15">
      <c r="A15" s="13" t="inlineStr">
        <is>
          <t>Historias de Usuario</t>
        </is>
      </c>
      <c r="B15" s="7" t="inlineStr">
        <is>
          <t>HU-24</t>
        </is>
      </c>
      <c r="C15" s="13" t="inlineStr">
        <is>
          <t>Épica</t>
        </is>
      </c>
      <c r="D15" s="7" t="inlineStr">
        <is>
          <t>E6 — Modo GhostMan</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c r="A18" s="13" t="inlineStr">
        <is>
          <t>Pasos #</t>
        </is>
      </c>
      <c r="B18" s="13" t="inlineStr">
        <is>
          <t>Detalle de pasos</t>
        </is>
      </c>
      <c r="C18" s="33" t="n"/>
      <c r="D18" s="13" t="inlineStr">
        <is>
          <t>Resultado esperado</t>
        </is>
      </c>
      <c r="E18" s="33" t="n"/>
    </row>
    <row r="19" ht="29.4" customHeight="1">
      <c r="A19" s="8" t="n">
        <v>1</v>
      </c>
      <c r="B19" s="7" t="inlineStr">
        <is>
          <t>Presionar ↓ y luego →.</t>
        </is>
      </c>
      <c r="C19" s="14" t="n"/>
      <c r="D19" s="7" t="inlineStr">
        <is>
          <t>El fantasma baja por la columna 1 y gira a la derecha en el primer cruce.</t>
        </is>
      </c>
      <c r="E19" s="14" t="n"/>
    </row>
    <row r="20" ht="29.4" customHeight="1">
      <c r="A20" s="8" t="n">
        <v>2</v>
      </c>
      <c r="B20" s="7" t="inlineStr">
        <is>
          <t>Presionar W y luego A.</t>
        </is>
      </c>
      <c r="C20" s="14" t="n"/>
      <c r="D20" s="18" t="inlineStr">
        <is>
          <t>El fantasma responde a WASD igual que a las flechas: sube y gira a la izquierda.</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8.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CP-075</t>
        </is>
      </c>
      <c r="C1" s="13" t="inlineStr">
        <is>
          <t>Descripción / Funcionalidad</t>
        </is>
      </c>
      <c r="D1" s="18" t="inlineStr">
        <is>
          <t>HU-24 · Controlar al fantasma por el mapa</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6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Durante 7 s contra el borde superior y los muros de la fila 2, el fantasma nunca entró a un muro ni salió del mapa. Precondición preparada por script (posiciones y fantasmas de la IA retirados) para aislar la condición.</t>
        </is>
      </c>
      <c r="L4" s="11" t="n"/>
    </row>
    <row r="5" ht="30" customHeight="1">
      <c r="A5" s="13" t="inlineStr">
        <is>
          <t>Prioridad (Alta, Media, Baja)</t>
        </is>
      </c>
      <c r="B5" s="18" t="inlineStr">
        <is>
          <t>Alta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16.2" customHeight="1">
      <c r="A9" s="8" t="n">
        <v>2</v>
      </c>
      <c r="B9" s="7" t="inlineStr">
        <is>
          <t>Partida en curso en modo GhostMan (GM), nivel 1.</t>
        </is>
      </c>
      <c r="C9" s="14" t="n"/>
      <c r="D9" s="18" t="inlineStr">
        <is>
          <t>Navegador:</t>
        </is>
      </c>
      <c r="E9" s="7" t="inlineStr">
        <is>
          <t>Chromium 141 de escritorio</t>
        </is>
      </c>
    </row>
    <row r="10" ht="16.2" customHeight="1">
      <c r="A10" s="8" t="n"/>
      <c r="B10" s="7" t="n"/>
      <c r="C10" s="14" t="n"/>
      <c r="D10" s="18" t="inlineStr">
        <is>
          <t>Fantasma:</t>
        </is>
      </c>
      <c r="E10" s="7" t="inlineStr">
        <is>
          <t>Clásico</t>
        </is>
      </c>
    </row>
    <row r="12">
      <c r="A12" s="13" t="inlineStr">
        <is>
          <t>Título del CP</t>
        </is>
      </c>
      <c r="B12" s="34" t="inlineStr">
        <is>
          <t>El fantasma respeta los muros</t>
        </is>
      </c>
      <c r="C12" s="14" t="n"/>
      <c r="D12" s="14" t="n"/>
      <c r="E12" s="14" t="n"/>
    </row>
    <row r="13">
      <c r="A13" s="33" t="n"/>
      <c r="B13" s="14" t="n"/>
      <c r="C13" s="14" t="n"/>
      <c r="D13" s="14" t="n"/>
      <c r="E13" s="14" t="n"/>
    </row>
    <row r="15">
      <c r="A15" s="13" t="inlineStr">
        <is>
          <t>Historias de Usuario</t>
        </is>
      </c>
      <c r="B15" s="7" t="inlineStr">
        <is>
          <t>HU-24</t>
        </is>
      </c>
      <c r="C15" s="13" t="inlineStr">
        <is>
          <t>Épica</t>
        </is>
      </c>
      <c r="D15" s="7" t="inlineStr">
        <is>
          <t>E6 — Modo GhostMan</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29.4" customHeight="1">
      <c r="A19" s="8" t="n">
        <v>1</v>
      </c>
      <c r="B19" s="7" t="inlineStr">
        <is>
          <t>Desde la aparición, presionar ↑ durante 3 s (borde superior).</t>
        </is>
      </c>
      <c r="C19" s="14" t="n"/>
      <c r="D19" s="7" t="inlineStr">
        <is>
          <t>El fantasma no sale del mapa.</t>
        </is>
      </c>
      <c r="E19" s="14" t="n"/>
    </row>
    <row r="20" ht="29.4" customHeight="1">
      <c r="A20" s="8" t="n">
        <v>2</v>
      </c>
      <c r="B20" s="7" t="inlineStr">
        <is>
          <t>Presionar ← y luego → contra el muro interior de la fila 2, durante 3 s cada uno.</t>
        </is>
      </c>
      <c r="C20" s="14" t="n"/>
      <c r="D20" s="18" t="inlineStr">
        <is>
          <t>Sin usar habilidades, el fantasma nunca entra a un muro ni sale del mapa.</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49.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CP-076</t>
        </is>
      </c>
      <c r="C1" s="13" t="inlineStr">
        <is>
          <t>Descripción / Funcionalidad</t>
        </is>
      </c>
      <c r="D1" s="18" t="inlineStr">
        <is>
          <t>HU-24 · Controlar al fantasma por el mapa</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En 10 s sin teclas Pacman consumió 39 esferas; los 3 fantasmas de la IA se movieron y el del jugador quedó quieto.</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nivel 1, sin tocar el teclado.</t>
        </is>
      </c>
      <c r="C9" s="14" t="n"/>
      <c r="D9" s="18" t="inlineStr">
        <is>
          <t>Navegador:</t>
        </is>
      </c>
      <c r="E9" s="7" t="inlineStr">
        <is>
          <t>Chromium 141 de escritorio</t>
        </is>
      </c>
    </row>
    <row r="11">
      <c r="A11" s="13" t="inlineStr">
        <is>
          <t>Título del CP</t>
        </is>
      </c>
      <c r="B11" s="34" t="inlineStr">
        <is>
          <t>Pacman y los demás fantasmas bajo IA</t>
        </is>
      </c>
      <c r="C11" s="14" t="n"/>
      <c r="D11" s="14" t="n"/>
      <c r="E11" s="14" t="n"/>
    </row>
    <row r="12">
      <c r="A12" s="33" t="n"/>
      <c r="B12" s="14" t="n"/>
      <c r="C12" s="14" t="n"/>
      <c r="D12" s="14" t="n"/>
      <c r="E12" s="14" t="n"/>
    </row>
    <row r="14">
      <c r="A14" s="13" t="inlineStr">
        <is>
          <t>Historias de Usuario</t>
        </is>
      </c>
      <c r="B14" s="7" t="inlineStr">
        <is>
          <t>HU-24</t>
        </is>
      </c>
      <c r="C14" s="13" t="inlineStr">
        <is>
          <t>Épica</t>
        </is>
      </c>
      <c r="D14" s="7" t="inlineStr">
        <is>
          <t>E6 — Modo GhostMan</t>
        </is>
      </c>
      <c r="E14" s="14" t="n"/>
    </row>
    <row r="15" ht="28" customHeight="1">
      <c r="A15" s="13" t="inlineStr">
        <is>
          <t>Estado Automatización</t>
        </is>
      </c>
      <c r="B15" s="7" t="inlineStr">
        <is>
          <t>Automatizado (script de navegador, Entrega 2)</t>
        </is>
      </c>
      <c r="C15" s="13" t="inlineStr">
        <is>
          <t>Camino feliz</t>
        </is>
      </c>
      <c r="D15" s="7" t="inlineStr">
        <is>
          <t>Sí</t>
        </is>
      </c>
      <c r="E15" s="14" t="n"/>
    </row>
    <row r="17">
      <c r="A17" s="13" t="inlineStr">
        <is>
          <t>Pasos #</t>
        </is>
      </c>
      <c r="B17" s="13" t="inlineStr">
        <is>
          <t>Detalle de pasos</t>
        </is>
      </c>
      <c r="C17" s="33" t="n"/>
      <c r="D17" s="13" t="inlineStr">
        <is>
          <t>Resultado esperado</t>
        </is>
      </c>
      <c r="E17" s="33" t="n"/>
    </row>
    <row r="18" ht="29.4" customHeight="1">
      <c r="A18" s="8" t="n">
        <v>1</v>
      </c>
      <c r="B18" s="7" t="inlineStr">
        <is>
          <t>Observar 10 s sin presionar teclas.</t>
        </is>
      </c>
      <c r="C18" s="14" t="n"/>
      <c r="D18" s="7" t="inlineStr">
        <is>
          <t>Pacman se mueve solo y consume esferas; el contador de esferas baja.</t>
        </is>
      </c>
      <c r="E18" s="14" t="n"/>
    </row>
    <row r="19" ht="29.4" customHeight="1">
      <c r="A19" s="8" t="n">
        <v>2</v>
      </c>
      <c r="B19" s="7" t="inlineStr">
        <is>
          <t>Observar a los otros tres fantasmas.</t>
        </is>
      </c>
      <c r="C19" s="14" t="n"/>
      <c r="D19" s="18" t="inlineStr">
        <is>
          <t>Pacman y los otros tres fantasmas se mueven de forma autónoma; el fantasma del jugador queda quieto.</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0.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CP-077</t>
        </is>
      </c>
      <c r="C1" s="13" t="inlineStr">
        <is>
          <t>Descripción / Funcionalidad</t>
        </is>
      </c>
      <c r="D1" s="18" t="inlineStr">
        <is>
          <t>HU-25 · Derrotar a Pacman para completar el nivel</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55.8"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Vidas de Pacman 3 → 2, puntaje +500; Pacman volvió a su posición inicial (7,8) y el fantasma a (1,1); las esferas consumidas siguen consumidas (86 → 86 restantes).</t>
        </is>
      </c>
      <c r="L4" s="11" t="n"/>
    </row>
    <row r="5" ht="30" customHeight="1">
      <c r="A5" s="13" t="inlineStr">
        <is>
          <t>Prioridad (Alta, Media, Baja)</t>
        </is>
      </c>
      <c r="B5" s="18" t="inlineStr">
        <is>
          <t>Alta</t>
        </is>
      </c>
      <c r="C5" s="13" t="inlineStr">
        <is>
          <t>Técnica de diseño</t>
        </is>
      </c>
      <c r="D5" s="7" t="inlineStr">
        <is>
          <t>Transición de estados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nivel 1, Pacman sin PowerUp, varias esferas ya consumidas.</t>
        </is>
      </c>
      <c r="C9" s="14" t="n"/>
      <c r="D9" s="18" t="inlineStr">
        <is>
          <t>Navegador:</t>
        </is>
      </c>
      <c r="E9" s="7" t="inlineStr">
        <is>
          <t>Chromium 141 de escritorio</t>
        </is>
      </c>
    </row>
    <row r="11">
      <c r="A11" s="13" t="inlineStr">
        <is>
          <t>Título del CP</t>
        </is>
      </c>
      <c r="B11" s="34" t="inlineStr">
        <is>
          <t>Derrota de Pacman y reinicio del nivel</t>
        </is>
      </c>
      <c r="C11" s="14" t="n"/>
      <c r="D11" s="14" t="n"/>
      <c r="E11" s="14" t="n"/>
    </row>
    <row r="12">
      <c r="A12" s="33" t="n"/>
      <c r="B12" s="14" t="n"/>
      <c r="C12" s="14" t="n"/>
      <c r="D12" s="14" t="n"/>
      <c r="E12" s="14" t="n"/>
    </row>
    <row r="14">
      <c r="A14" s="13" t="inlineStr">
        <is>
          <t>Historias de Usuario</t>
        </is>
      </c>
      <c r="B14" s="7" t="inlineStr">
        <is>
          <t>HU-25</t>
        </is>
      </c>
      <c r="C14" s="13" t="inlineStr">
        <is>
          <t>Épica</t>
        </is>
      </c>
      <c r="D14" s="7" t="inlineStr">
        <is>
          <t>E6 — Modo GhostMan</t>
        </is>
      </c>
      <c r="E14" s="14" t="n"/>
    </row>
    <row r="15" ht="28" customHeight="1">
      <c r="A15" s="13" t="inlineStr">
        <is>
          <t>Estado Automatización</t>
        </is>
      </c>
      <c r="B15" s="7" t="inlineStr">
        <is>
          <t>Automatizado (script de navegador, Entrega 2)</t>
        </is>
      </c>
      <c r="C15" s="13" t="inlineStr">
        <is>
          <t>Camino feliz</t>
        </is>
      </c>
      <c r="D15" s="7" t="inlineStr">
        <is>
          <t>Sí</t>
        </is>
      </c>
      <c r="E15" s="14" t="n"/>
    </row>
    <row r="17">
      <c r="A17" s="13" t="inlineStr">
        <is>
          <t>Pasos #</t>
        </is>
      </c>
      <c r="B17" s="13" t="inlineStr">
        <is>
          <t>Detalle de pasos</t>
        </is>
      </c>
      <c r="C17" s="33" t="n"/>
      <c r="D17" s="13" t="inlineStr">
        <is>
          <t>Resultado esperado</t>
        </is>
      </c>
      <c r="E17" s="33" t="n"/>
    </row>
    <row r="18" ht="29.4" customHeight="1">
      <c r="A18" s="8" t="n">
        <v>1</v>
      </c>
      <c r="B18" s="7" t="inlineStr">
        <is>
          <t>Anotar vidas de Pacman, puntaje y esferas restantes.</t>
        </is>
      </c>
      <c r="C18" s="14" t="n"/>
      <c r="D18" s="7" t="inlineStr">
        <is>
          <t>Valores de referencia anotados (vidas 3).</t>
        </is>
      </c>
      <c r="E18" s="14" t="n"/>
    </row>
    <row r="19" ht="29.4" customHeight="1">
      <c r="A19" s="8" t="n">
        <v>2</v>
      </c>
      <c r="B19" s="7" t="inlineStr">
        <is>
          <t>Llevar al fantasma del jugador hasta tocar a Pacman.</t>
        </is>
      </c>
      <c r="C19" s="14" t="n"/>
      <c r="D19" s="7" t="inlineStr">
        <is>
          <t>Pacman pierde una vida (3 → 2) y el jugador suma 500 puntos.</t>
        </is>
      </c>
      <c r="E19" s="14" t="n"/>
    </row>
    <row r="20" ht="42.59999999999999" customHeight="1">
      <c r="A20" s="8" t="n">
        <v>3</v>
      </c>
      <c r="B20" s="7" t="inlineStr">
        <is>
          <t>Observar el mapa al reanudarse.</t>
        </is>
      </c>
      <c r="C20" s="14" t="n"/>
      <c r="D20" s="18" t="inlineStr">
        <is>
          <t>Todos los personajes vuelven a su posición inicial; las esferas consumidas siguen consumidas y el contador de esferas no cambia.</t>
        </is>
      </c>
      <c r="E20" s="14" t="n"/>
    </row>
    <row r="21" ht="24" customHeight="1">
      <c r="A21" s="21" t="inlineStr">
        <is>
          <t>El caso se aprueba solo si se cumple todo el resultado esperado del último paso (en negrita); si cualquier parte no se cumple, se registra como Fallido.</t>
        </is>
      </c>
    </row>
  </sheetData>
  <mergeCells count="25">
    <mergeCell ref="D20:E20"/>
    <mergeCell ref="B7:C7"/>
    <mergeCell ref="D1:E1"/>
    <mergeCell ref="D19:E19"/>
    <mergeCell ref="B11:E12"/>
    <mergeCell ref="B18:C18"/>
    <mergeCell ref="D2:E2"/>
    <mergeCell ref="B17:C17"/>
    <mergeCell ref="B8:C8"/>
    <mergeCell ref="D17:E17"/>
    <mergeCell ref="A3:B3"/>
    <mergeCell ref="A21:E21"/>
    <mergeCell ref="G1:L1"/>
    <mergeCell ref="D7:E7"/>
    <mergeCell ref="B19:C19"/>
    <mergeCell ref="D4:E4"/>
    <mergeCell ref="D18:E18"/>
    <mergeCell ref="B9:C9"/>
    <mergeCell ref="D3:E3"/>
    <mergeCell ref="G6:L7"/>
    <mergeCell ref="D15:E15"/>
    <mergeCell ref="B20:C20"/>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1.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CP-078</t>
        </is>
      </c>
      <c r="C1" s="13" t="inlineStr">
        <is>
          <t>Descripción / Funcionalidad</t>
        </is>
      </c>
      <c r="D1" s="18" t="inlineStr">
        <is>
          <t>HU-25 · Derrotar a Pacman para completar el nivel</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30"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Contador visible: 3; tras el toque de un fantasma de la IA: 3; tras el toque del jugador: 2.</t>
        </is>
      </c>
      <c r="L4" s="11" t="n"/>
    </row>
    <row r="5" ht="30" customHeight="1">
      <c r="A5" s="13" t="inlineStr">
        <is>
          <t>Prioridad (Alta, Media, Baja)</t>
        </is>
      </c>
      <c r="B5" s="18" t="inlineStr">
        <is>
          <t>Alta</t>
        </is>
      </c>
      <c r="C5" s="13" t="inlineStr">
        <is>
          <t>Técnica de diseño</t>
        </is>
      </c>
      <c r="D5" s="7" t="inlineStr">
        <is>
          <t>Tabla de decisión</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16.2" customHeight="1">
      <c r="A9" s="8" t="n">
        <v>2</v>
      </c>
      <c r="B9" s="7" t="inlineStr">
        <is>
          <t>Partida en curso en modo GhostMan (GM), nivel 1.</t>
        </is>
      </c>
      <c r="C9" s="14" t="n"/>
      <c r="D9" s="18" t="inlineStr">
        <is>
          <t>Navegador:</t>
        </is>
      </c>
      <c r="E9" s="7" t="inlineStr">
        <is>
          <t>Chromium 141 de escritorio</t>
        </is>
      </c>
    </row>
    <row r="11">
      <c r="A11" s="13" t="inlineStr">
        <is>
          <t>Título del CP</t>
        </is>
      </c>
      <c r="B11" s="34" t="inlineStr">
        <is>
          <t>Contador de derrotas de Pacman</t>
        </is>
      </c>
      <c r="C11" s="14" t="n"/>
      <c r="D11" s="14" t="n"/>
      <c r="E11" s="14" t="n"/>
    </row>
    <row r="12">
      <c r="A12" s="33" t="n"/>
      <c r="B12" s="14" t="n"/>
      <c r="C12" s="14" t="n"/>
      <c r="D12" s="14" t="n"/>
      <c r="E12" s="14" t="n"/>
    </row>
    <row r="14">
      <c r="A14" s="13" t="inlineStr">
        <is>
          <t>Historias de Usuario</t>
        </is>
      </c>
      <c r="B14" s="7" t="inlineStr">
        <is>
          <t>HU-25</t>
        </is>
      </c>
      <c r="C14" s="13" t="inlineStr">
        <is>
          <t>Épica</t>
        </is>
      </c>
      <c r="D14" s="7" t="inlineStr">
        <is>
          <t>E6 — Modo GhostMan</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29.4" customHeight="1">
      <c r="A18" s="8" t="n">
        <v>1</v>
      </c>
      <c r="B18" s="7" t="inlineStr">
        <is>
          <t>Observar la barra inferior.</t>
        </is>
      </c>
      <c r="C18" s="14" t="n"/>
      <c r="D18" s="7" t="inlineStr">
        <is>
          <t>Se muestra el contador «Vidas de Pacman» con 3 íconos.</t>
        </is>
      </c>
      <c r="E18" s="14" t="n"/>
    </row>
    <row r="19" ht="16.2" customHeight="1">
      <c r="A19" s="8" t="n">
        <v>2</v>
      </c>
      <c r="B19" s="7" t="inlineStr">
        <is>
          <t>Esperar a que un fantasma de la IA toque a Pacman.</t>
        </is>
      </c>
      <c r="C19" s="14" t="n"/>
      <c r="D19" s="7" t="inlineStr">
        <is>
          <t>El contador no cambia.</t>
        </is>
      </c>
      <c r="E19" s="14" t="n"/>
    </row>
    <row r="20" ht="29.4" customHeight="1">
      <c r="A20" s="8" t="n">
        <v>3</v>
      </c>
      <c r="B20" s="7" t="inlineStr">
        <is>
          <t>Tocar a Pacman con el fantasma del jugador.</t>
        </is>
      </c>
      <c r="C20" s="14" t="n"/>
      <c r="D20" s="18" t="inlineStr">
        <is>
          <t>El contador baja solo con las derrotas producidas por el jugador: queda en 2.</t>
        </is>
      </c>
      <c r="E20" s="14" t="n"/>
    </row>
    <row r="21" ht="24" customHeight="1">
      <c r="A21" s="21" t="inlineStr">
        <is>
          <t>El caso se aprueba solo si se cumple todo el resultado esperado del último paso (en negrita); si cualquier parte no se cumple, se registra como Fallido.</t>
        </is>
      </c>
    </row>
  </sheetData>
  <mergeCells count="25">
    <mergeCell ref="D20:E20"/>
    <mergeCell ref="B7:C7"/>
    <mergeCell ref="D1:E1"/>
    <mergeCell ref="D19:E19"/>
    <mergeCell ref="B11:E12"/>
    <mergeCell ref="B18:C18"/>
    <mergeCell ref="D2:E2"/>
    <mergeCell ref="B17:C17"/>
    <mergeCell ref="B8:C8"/>
    <mergeCell ref="D17:E17"/>
    <mergeCell ref="A3:B3"/>
    <mergeCell ref="A21:E21"/>
    <mergeCell ref="G1:L1"/>
    <mergeCell ref="D7:E7"/>
    <mergeCell ref="B19:C19"/>
    <mergeCell ref="D4:E4"/>
    <mergeCell ref="D18:E18"/>
    <mergeCell ref="B9:C9"/>
    <mergeCell ref="D3:E3"/>
    <mergeCell ref="G6:L7"/>
    <mergeCell ref="D15:E15"/>
    <mergeCell ref="B20:C20"/>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2.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CP-079</t>
        </is>
      </c>
      <c r="C1" s="13" t="inlineStr">
        <is>
          <t>Descripción / Funcionalidad</t>
        </is>
      </c>
      <c r="D1" s="18" t="inlineStr">
        <is>
          <t>HU-25 · Derrotar a Pacman para completar el nivel</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55.8"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Tercera derrota: el nivel se completó y se mostró el resultado; a los 3 s empezó el nivel 2 con 3 vidas de Pacman. (Vidas previas fijadas en 1 por script.)</t>
        </is>
      </c>
      <c r="L4" s="11" t="n"/>
    </row>
    <row r="5" ht="30" customHeight="1">
      <c r="A5" s="13" t="inlineStr">
        <is>
          <t>Prioridad (Alta, Media, Baja)</t>
        </is>
      </c>
      <c r="B5" s="18" t="inlineStr">
        <is>
          <t>Alta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nivel 1, Pacman con 1 vida en el nivel.</t>
        </is>
      </c>
      <c r="C9" s="14" t="n"/>
      <c r="D9" s="18" t="inlineStr">
        <is>
          <t>Navegador:</t>
        </is>
      </c>
      <c r="E9" s="7" t="inlineStr">
        <is>
          <t>Chromium 141 de escritorio</t>
        </is>
      </c>
    </row>
    <row r="11">
      <c r="A11" s="13" t="inlineStr">
        <is>
          <t>Título del CP</t>
        </is>
      </c>
      <c r="B11" s="34" t="inlineStr">
        <is>
          <t>Nivel completado con 3 derrotas</t>
        </is>
      </c>
      <c r="C11" s="14" t="n"/>
      <c r="D11" s="14" t="n"/>
      <c r="E11" s="14" t="n"/>
    </row>
    <row r="12">
      <c r="A12" s="33" t="n"/>
      <c r="B12" s="14" t="n"/>
      <c r="C12" s="14" t="n"/>
      <c r="D12" s="14" t="n"/>
      <c r="E12" s="14" t="n"/>
    </row>
    <row r="14">
      <c r="A14" s="13" t="inlineStr">
        <is>
          <t>Historias de Usuario</t>
        </is>
      </c>
      <c r="B14" s="7" t="inlineStr">
        <is>
          <t>HU-25</t>
        </is>
      </c>
      <c r="C14" s="13" t="inlineStr">
        <is>
          <t>Épica</t>
        </is>
      </c>
      <c r="D14" s="7" t="inlineStr">
        <is>
          <t>E6 — Modo GhostMan</t>
        </is>
      </c>
      <c r="E14" s="14" t="n"/>
    </row>
    <row r="15" ht="28" customHeight="1">
      <c r="A15" s="13" t="inlineStr">
        <is>
          <t>Estado Automatización</t>
        </is>
      </c>
      <c r="B15" s="7" t="inlineStr">
        <is>
          <t>Automatizado (script de navegador, Entrega 2)</t>
        </is>
      </c>
      <c r="C15" s="13" t="inlineStr">
        <is>
          <t>Camino feliz</t>
        </is>
      </c>
      <c r="D15" s="7" t="inlineStr">
        <is>
          <t>Sí</t>
        </is>
      </c>
      <c r="E15" s="14" t="n"/>
    </row>
    <row r="17">
      <c r="A17" s="13" t="inlineStr">
        <is>
          <t>Pasos #</t>
        </is>
      </c>
      <c r="B17" s="13" t="inlineStr">
        <is>
          <t>Detalle de pasos</t>
        </is>
      </c>
      <c r="C17" s="33" t="n"/>
      <c r="D17" s="13" t="inlineStr">
        <is>
          <t>Resultado esperado</t>
        </is>
      </c>
      <c r="E17" s="33" t="n"/>
    </row>
    <row r="18" ht="29.4" customHeight="1">
      <c r="A18" s="8" t="n">
        <v>1</v>
      </c>
      <c r="B18" s="7" t="inlineStr">
        <is>
          <t>Tocar a Pacman con el fantasma del jugador por tercera vez en el nivel.</t>
        </is>
      </c>
      <c r="C18" s="14" t="n"/>
      <c r="D18" s="7" t="inlineStr">
        <is>
          <t>El contador llega a 0, el nivel se completa y se muestra el resultado del nivel.</t>
        </is>
      </c>
      <c r="E18" s="14" t="n"/>
    </row>
    <row r="19" ht="29.4" customHeight="1">
      <c r="A19" s="8" t="n">
        <v>2</v>
      </c>
      <c r="B19" s="7" t="inlineStr">
        <is>
          <t>Esperar 3 s.</t>
        </is>
      </c>
      <c r="C19" s="14" t="n"/>
      <c r="D19" s="18" t="inlineStr">
        <is>
          <t>Empieza el nivel 2 con el contador de Pacman de nuevo en 3.</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3.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CP-080</t>
        </is>
      </c>
      <c r="C1" s="13" t="inlineStr">
        <is>
          <t>Descripción / Funcionalidad</t>
        </is>
      </c>
      <c r="D1" s="18" t="inlineStr">
        <is>
          <t>HU-26 · Perder si Pacman completa el nivel</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55.8"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Con 1 derrota de Pacman en el nivel (2 vidas), Pacman consumió la última esfera: Game Over con el puntaje y «Volver a jugar». (Mapa reducido a una esfera por script.)</t>
        </is>
      </c>
      <c r="L4" s="11" t="n"/>
    </row>
    <row r="5" ht="30" customHeight="1">
      <c r="A5" s="13" t="inlineStr">
        <is>
          <t>Prioridad (Alta, Media, Baja)</t>
        </is>
      </c>
      <c r="B5" s="18" t="inlineStr">
        <is>
          <t>Alta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42.59999999999999" customHeight="1">
      <c r="A9" s="8" t="n">
        <v>2</v>
      </c>
      <c r="B9" s="7" t="inlineStr">
        <is>
          <t>Partida en curso en modo GhostMan (GM), nivel 1, Pacman con 2 vidas (ya derrotado una vez), quedando pocas esferas.</t>
        </is>
      </c>
      <c r="C9" s="14" t="n"/>
      <c r="D9" s="18" t="inlineStr">
        <is>
          <t>Navegador:</t>
        </is>
      </c>
      <c r="E9" s="7" t="inlineStr">
        <is>
          <t>Chromium 141 de escritorio</t>
        </is>
      </c>
    </row>
    <row r="11">
      <c r="A11" s="13" t="inlineStr">
        <is>
          <t>Título del CP</t>
        </is>
      </c>
      <c r="B11" s="34" t="inlineStr">
        <is>
          <t>Game Over si Pacman consume la última esfera</t>
        </is>
      </c>
      <c r="C11" s="14" t="n"/>
      <c r="D11" s="14" t="n"/>
      <c r="E11" s="14" t="n"/>
    </row>
    <row r="12">
      <c r="A12" s="33" t="n"/>
      <c r="B12" s="14" t="n"/>
      <c r="C12" s="14" t="n"/>
      <c r="D12" s="14" t="n"/>
      <c r="E12" s="14" t="n"/>
    </row>
    <row r="14">
      <c r="A14" s="13" t="inlineStr">
        <is>
          <t>Historias de Usuario</t>
        </is>
      </c>
      <c r="B14" s="7" t="inlineStr">
        <is>
          <t>HU-26</t>
        </is>
      </c>
      <c r="C14" s="13" t="inlineStr">
        <is>
          <t>Épica</t>
        </is>
      </c>
      <c r="D14" s="7" t="inlineStr">
        <is>
          <t>E6 — Modo GhostMan</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29.4" customHeight="1">
      <c r="A18" s="8" t="n">
        <v>1</v>
      </c>
      <c r="B18" s="7" t="inlineStr">
        <is>
          <t>No interferir hasta que Pacman consuma la última esfera.</t>
        </is>
      </c>
      <c r="C18" s="14" t="n"/>
      <c r="D18" s="7" t="inlineStr">
        <is>
          <t>La partida termina aunque el jugador lleve una derrota de Pacman en el nivel.</t>
        </is>
      </c>
      <c r="E18" s="14" t="n"/>
    </row>
    <row r="19" ht="29.4" customHeight="1">
      <c r="A19" s="8" t="n">
        <v>2</v>
      </c>
      <c r="B19" s="7" t="inlineStr">
        <is>
          <t>Observar la pantalla.</t>
        </is>
      </c>
      <c r="C19" s="14" t="n"/>
      <c r="D19" s="18" t="inlineStr">
        <is>
          <t>Se muestra la pantalla de Game Over con el puntaje obtenido y la acción de volver a jugar.</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4.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CP-081</t>
        </is>
      </c>
      <c r="C1" s="13" t="inlineStr">
        <is>
          <t>Descripción / Funcionalidad</t>
        </is>
      </c>
      <c r="D1" s="18" t="inlineStr">
        <is>
          <t>HU-27 · Ser comido por Pacman con el PowerUp activo</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6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Pacman consumió una esfera grande (ubicada junto a él por script) y el fantasma del jugador pasó al diseño vulnerable; al tocar a Pacman no lo derrotó (vidas 3 → 3; el fantasma fue comido: True).</t>
        </is>
      </c>
      <c r="L4" s="11" t="n"/>
    </row>
    <row r="5" ht="30" customHeight="1">
      <c r="A5" s="13" t="inlineStr">
        <is>
          <t>Prioridad (Alta, Media, Baja)</t>
        </is>
      </c>
      <c r="B5" s="18" t="inlineStr">
        <is>
          <t>Alta</t>
        </is>
      </c>
      <c r="C5" s="13" t="inlineStr">
        <is>
          <t>Técnica de diseño</t>
        </is>
      </c>
      <c r="D5" s="7" t="inlineStr">
        <is>
          <t>Transición de estados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16.2" customHeight="1">
      <c r="A9" s="8" t="n">
        <v>2</v>
      </c>
      <c r="B9" s="7" t="inlineStr">
        <is>
          <t>Partida en curso en modo GhostMan (GM), nivel 1.</t>
        </is>
      </c>
      <c r="C9" s="14" t="n"/>
      <c r="D9" s="18" t="inlineStr">
        <is>
          <t>Navegador:</t>
        </is>
      </c>
      <c r="E9" s="7" t="inlineStr">
        <is>
          <t>Chromium 141 de escritorio</t>
        </is>
      </c>
    </row>
    <row r="11">
      <c r="A11" s="13" t="inlineStr">
        <is>
          <t>Título del CP</t>
        </is>
      </c>
      <c r="B11" s="34" t="inlineStr">
        <is>
          <t>Vulnerabilidad durante el PowerUp de Pacman</t>
        </is>
      </c>
      <c r="C11" s="14" t="n"/>
      <c r="D11" s="14" t="n"/>
      <c r="E11" s="14" t="n"/>
    </row>
    <row r="12">
      <c r="A12" s="33" t="n"/>
      <c r="B12" s="14" t="n"/>
      <c r="C12" s="14" t="n"/>
      <c r="D12" s="14" t="n"/>
      <c r="E12" s="14" t="n"/>
    </row>
    <row r="14">
      <c r="A14" s="13" t="inlineStr">
        <is>
          <t>Historias de Usuario</t>
        </is>
      </c>
      <c r="B14" s="7" t="inlineStr">
        <is>
          <t>HU-27</t>
        </is>
      </c>
      <c r="C14" s="13" t="inlineStr">
        <is>
          <t>Épica</t>
        </is>
      </c>
      <c r="D14" s="7" t="inlineStr">
        <is>
          <t>E6 — Modo GhostMan</t>
        </is>
      </c>
      <c r="E14" s="14" t="n"/>
    </row>
    <row r="15" ht="28" customHeight="1">
      <c r="A15" s="13" t="inlineStr">
        <is>
          <t>Estado Automatización</t>
        </is>
      </c>
      <c r="B15" s="7" t="inlineStr">
        <is>
          <t>Automatizado (script de navegador, Entrega 2)</t>
        </is>
      </c>
      <c r="C15" s="13" t="inlineStr">
        <is>
          <t>Camino feliz</t>
        </is>
      </c>
      <c r="D15" s="7" t="inlineStr">
        <is>
          <t>Sí</t>
        </is>
      </c>
      <c r="E15" s="14" t="n"/>
    </row>
    <row r="17">
      <c r="A17" s="13" t="inlineStr">
        <is>
          <t>Pasos #</t>
        </is>
      </c>
      <c r="B17" s="13" t="inlineStr">
        <is>
          <t>Detalle de pasos</t>
        </is>
      </c>
      <c r="C17" s="33" t="n"/>
      <c r="D17" s="13" t="inlineStr">
        <is>
          <t>Resultado esperado</t>
        </is>
      </c>
      <c r="E17" s="33" t="n"/>
    </row>
    <row r="18" ht="16.2" customHeight="1">
      <c r="A18" s="8" t="n">
        <v>1</v>
      </c>
      <c r="B18" s="7" t="inlineStr">
        <is>
          <t>Esperar a que Pacman consuma una esfera grande.</t>
        </is>
      </c>
      <c r="C18" s="14" t="n"/>
      <c r="D18" s="7" t="inlineStr">
        <is>
          <t>El fantasma del jugador cambia al diseño vulnerable.</t>
        </is>
      </c>
      <c r="E18" s="14" t="n"/>
    </row>
    <row r="19" ht="29.4" customHeight="1">
      <c r="A19" s="8" t="n">
        <v>2</v>
      </c>
      <c r="B19" s="7" t="inlineStr">
        <is>
          <t>Llevar al fantasma del jugador a tocar a Pacman.</t>
        </is>
      </c>
      <c r="C19" s="14" t="n"/>
      <c r="D19" s="18" t="inlineStr">
        <is>
          <t>No derrota a Pacman: el contador de vidas de Pacman no cambia.</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5.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CP-082</t>
        </is>
      </c>
      <c r="C1" s="13" t="inlineStr">
        <is>
          <t>Descripción / Funcionalidad</t>
        </is>
      </c>
      <c r="D1" s="18" t="inlineStr">
        <is>
          <t>HU-27 · Ser comido por Pacman con el PowerUp activo</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55.8"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Clásico: reapareció a los 5.03 s; Naval: a los 8.02 s. Durante la espera se ve «Reaparecés en 5» y el fantasma queda en (1,1) sin responder al teclado.</t>
        </is>
      </c>
      <c r="L4" s="11" t="n"/>
    </row>
    <row r="5" ht="30" customHeight="1">
      <c r="A5" s="13" t="inlineStr">
        <is>
          <t>Prioridad (Alta, Media, Baja)</t>
        </is>
      </c>
      <c r="B5" s="18" t="inlineStr">
        <is>
          <t>Media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Dos partidas en modo GhostMan: con el Clásico y con el Naval. PowerUp de Pacman activo.</t>
        </is>
      </c>
      <c r="C9" s="14" t="n"/>
      <c r="D9" s="18" t="inlineStr">
        <is>
          <t>Navegador:</t>
        </is>
      </c>
      <c r="E9" s="7" t="inlineStr">
        <is>
          <t>Chromium 141 de escritorio</t>
        </is>
      </c>
    </row>
    <row r="11">
      <c r="A11" s="13" t="inlineStr">
        <is>
          <t>Título del CP</t>
        </is>
      </c>
      <c r="B11" s="34" t="inlineStr">
        <is>
          <t>Reaparición del fantasma del jugador</t>
        </is>
      </c>
      <c r="C11" s="14" t="n"/>
      <c r="D11" s="14" t="n"/>
      <c r="E11" s="14" t="n"/>
    </row>
    <row r="12">
      <c r="A12" s="33" t="n"/>
      <c r="B12" s="14" t="n"/>
      <c r="C12" s="14" t="n"/>
      <c r="D12" s="14" t="n"/>
      <c r="E12" s="14" t="n"/>
    </row>
    <row r="14">
      <c r="A14" s="13" t="inlineStr">
        <is>
          <t>Historias de Usuario</t>
        </is>
      </c>
      <c r="B14" s="7" t="inlineStr">
        <is>
          <t>HU-27</t>
        </is>
      </c>
      <c r="C14" s="13" t="inlineStr">
        <is>
          <t>Épica</t>
        </is>
      </c>
      <c r="D14" s="7" t="inlineStr">
        <is>
          <t>E6 — Modo GhostMan</t>
        </is>
      </c>
      <c r="E14" s="14" t="n"/>
    </row>
    <row r="15" ht="28" customHeight="1">
      <c r="A15" s="13" t="inlineStr">
        <is>
          <t>Estado Automatización</t>
        </is>
      </c>
      <c r="B15" s="7" t="inlineStr">
        <is>
          <t>Automatizado (script de navegador, Entrega 2)</t>
        </is>
      </c>
      <c r="C15" s="13" t="inlineStr">
        <is>
          <t>Camino feliz</t>
        </is>
      </c>
      <c r="D15" s="7" t="inlineStr">
        <is>
          <t>Sí</t>
        </is>
      </c>
      <c r="E15" s="14" t="n"/>
    </row>
    <row r="17">
      <c r="A17" s="13" t="inlineStr">
        <is>
          <t>Pasos #</t>
        </is>
      </c>
      <c r="B17" s="13" t="inlineStr">
        <is>
          <t>Detalle de pasos</t>
        </is>
      </c>
      <c r="C17" s="33" t="n"/>
      <c r="D17" s="13" t="inlineStr">
        <is>
          <t>Resultado esperado</t>
        </is>
      </c>
      <c r="E17" s="33" t="n"/>
    </row>
    <row r="18" ht="42.59999999999999" customHeight="1">
      <c r="A18" s="8" t="n">
        <v>1</v>
      </c>
      <c r="B18" s="7" t="inlineStr">
        <is>
          <t>Con el Clásico, dejarse comer por Pacman y cronometrar.</t>
        </is>
      </c>
      <c r="C18" s="14" t="n"/>
      <c r="D18" s="7" t="inlineStr">
        <is>
          <t>El fantasma vuelve a su punto de reaparición, se muestra la cuenta regresiva y reaparece a los 5 s; durante ese tiempo no responde al teclado.</t>
        </is>
      </c>
      <c r="E18" s="14" t="n"/>
    </row>
    <row r="19" ht="16.2" customHeight="1">
      <c r="A19" s="8" t="n">
        <v>2</v>
      </c>
      <c r="B19" s="7" t="inlineStr">
        <is>
          <t>Repetir con el Naval.</t>
        </is>
      </c>
      <c r="C19" s="14" t="n"/>
      <c r="D19" s="18" t="inlineStr">
        <is>
          <t>El Naval reaparece a los 8 s.</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6.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CP-083</t>
        </is>
      </c>
      <c r="C1" s="13" t="inlineStr">
        <is>
          <t>Descripción / Funcionalidad</t>
        </is>
      </c>
      <c r="D1" s="18" t="inlineStr">
        <is>
          <t>HU-27 · Ser comido por Pacman con el PowerUp activo</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Comido el fantasma: vidas de Pacman 3 → 3; Pacman siguió desde (4, 3) (no volvió al inicio); esferas 96 → 96. El nivel no se reinició.</t>
        </is>
      </c>
      <c r="L4" s="11" t="n"/>
    </row>
    <row r="5" ht="30" customHeight="1">
      <c r="A5" s="13" t="inlineStr">
        <is>
          <t>Prioridad (Alta, Media, Baja)</t>
        </is>
      </c>
      <c r="B5" s="18" t="inlineStr">
        <is>
          <t>Alta</t>
        </is>
      </c>
      <c r="C5" s="13" t="inlineStr">
        <is>
          <t>Técnica de diseño</t>
        </is>
      </c>
      <c r="D5" s="7" t="inlineStr">
        <is>
          <t>Adivinación de errores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PowerUp de Pacman activo.</t>
        </is>
      </c>
      <c r="C9" s="14" t="n"/>
      <c r="D9" s="18" t="inlineStr">
        <is>
          <t>Navegador:</t>
        </is>
      </c>
      <c r="E9" s="7" t="inlineStr">
        <is>
          <t>Chromium 141 de escritorio</t>
        </is>
      </c>
    </row>
    <row r="11">
      <c r="A11" s="13" t="inlineStr">
        <is>
          <t>Título del CP</t>
        </is>
      </c>
      <c r="B11" s="34" t="inlineStr">
        <is>
          <t>Ser comido no descuenta vidas ni reinicia el nivel</t>
        </is>
      </c>
      <c r="C11" s="14" t="n"/>
      <c r="D11" s="14" t="n"/>
      <c r="E11" s="14" t="n"/>
    </row>
    <row r="12">
      <c r="A12" s="33" t="n"/>
      <c r="B12" s="14" t="n"/>
      <c r="C12" s="14" t="n"/>
      <c r="D12" s="14" t="n"/>
      <c r="E12" s="14" t="n"/>
    </row>
    <row r="14">
      <c r="A14" s="13" t="inlineStr">
        <is>
          <t>Historias de Usuario</t>
        </is>
      </c>
      <c r="B14" s="7" t="inlineStr">
        <is>
          <t>HU-27</t>
        </is>
      </c>
      <c r="C14" s="13" t="inlineStr">
        <is>
          <t>Épica</t>
        </is>
      </c>
      <c r="D14" s="7" t="inlineStr">
        <is>
          <t>E6 — Modo GhostMan</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29.4" customHeight="1">
      <c r="A18" s="8" t="n">
        <v>1</v>
      </c>
      <c r="B18" s="7" t="inlineStr">
        <is>
          <t>Anotar vidas de Pacman, esferas restantes y posición de Pacman.</t>
        </is>
      </c>
      <c r="C18" s="14" t="n"/>
      <c r="D18" s="7" t="inlineStr">
        <is>
          <t>Valores anotados.</t>
        </is>
      </c>
      <c r="E18" s="14" t="n"/>
    </row>
    <row r="19" ht="29.4" customHeight="1">
      <c r="A19" s="8" t="n">
        <v>2</v>
      </c>
      <c r="B19" s="7" t="inlineStr">
        <is>
          <t>Dejarse comer por Pacman.</t>
        </is>
      </c>
      <c r="C19" s="14" t="n"/>
      <c r="D19" s="18" t="inlineStr">
        <is>
          <t>Las vidas de Pacman, las esferas y la posición de Pacman no cambian: el nivel no se reinicia.</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7.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CP-084</t>
        </is>
      </c>
      <c r="C1" s="13" t="inlineStr">
        <is>
          <t>Descripción / Funcionalidad</t>
        </is>
      </c>
      <c r="D1" s="18" t="inlineStr">
        <is>
          <t>HU-28 · Atravesar una pared con el Espectro</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6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Nivel 2, espectro en (1,7) mirando a la derecha con el muro de una celda (1,8): atravesó y quedó en (1, 10), del otro lado. Precondición preparada por script (posiciones y fantasmas de la IA retirados) para aislar la condición.</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42.59999999999999" customHeight="1">
      <c r="A9" s="8" t="n">
        <v>2</v>
      </c>
      <c r="B9" s="7" t="inlineStr">
        <is>
          <t>Partida en curso en modo GhostMan (GM) con el Espectro, nivel 2, detenido junto a un muro de una celda con camino del otro lado.</t>
        </is>
      </c>
      <c r="C9" s="14" t="n"/>
      <c r="D9" s="18" t="inlineStr">
        <is>
          <t>Navegador:</t>
        </is>
      </c>
      <c r="E9" s="7" t="inlineStr">
        <is>
          <t>Chromium 141 de escritorio</t>
        </is>
      </c>
    </row>
    <row r="10" ht="16.2" customHeight="1">
      <c r="A10" s="8" t="n"/>
      <c r="B10" s="7" t="n"/>
      <c r="C10" s="14" t="n"/>
      <c r="D10" s="18" t="inlineStr">
        <is>
          <t>Fantasma:</t>
        </is>
      </c>
      <c r="E10" s="7" t="inlineStr">
        <is>
          <t>Espectro</t>
        </is>
      </c>
    </row>
    <row r="12">
      <c r="A12" s="13" t="inlineStr">
        <is>
          <t>Título del CP</t>
        </is>
      </c>
      <c r="B12" s="34" t="inlineStr">
        <is>
          <t>Espectro: atravesar una pared</t>
        </is>
      </c>
      <c r="C12" s="14" t="n"/>
      <c r="D12" s="14" t="n"/>
      <c r="E12" s="14" t="n"/>
    </row>
    <row r="13">
      <c r="A13" s="33" t="n"/>
      <c r="B13" s="14" t="n"/>
      <c r="C13" s="14" t="n"/>
      <c r="D13" s="14" t="n"/>
      <c r="E13" s="14" t="n"/>
    </row>
    <row r="15">
      <c r="A15" s="13" t="inlineStr">
        <is>
          <t>Historias de Usuario</t>
        </is>
      </c>
      <c r="B15" s="7" t="inlineStr">
        <is>
          <t>HU-28</t>
        </is>
      </c>
      <c r="C15" s="13" t="inlineStr">
        <is>
          <t>Épica</t>
        </is>
      </c>
      <c r="D15" s="7" t="inlineStr">
        <is>
          <t>E7 — Poderes de los fantasmas</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c r="A18" s="13" t="inlineStr">
        <is>
          <t>Pasos #</t>
        </is>
      </c>
      <c r="B18" s="13" t="inlineStr">
        <is>
          <t>Detalle de pasos</t>
        </is>
      </c>
      <c r="C18" s="33" t="n"/>
      <c r="D18" s="13" t="inlineStr">
        <is>
          <t>Resultado esperado</t>
        </is>
      </c>
      <c r="E18" s="33" t="n"/>
    </row>
    <row r="19" ht="16.2" customHeight="1">
      <c r="A19" s="8" t="n">
        <v>1</v>
      </c>
      <c r="B19" s="7" t="inlineStr">
        <is>
          <t>Presionar la barra espaciadora.</t>
        </is>
      </c>
      <c r="C19" s="14" t="n"/>
      <c r="D19" s="7" t="inlineStr">
        <is>
          <t>El espectro entra al muro en su dirección de avance.</t>
        </is>
      </c>
      <c r="E19" s="14" t="n"/>
    </row>
    <row r="20" ht="29.4" customHeight="1">
      <c r="A20" s="8" t="n">
        <v>2</v>
      </c>
      <c r="B20" s="7" t="inlineStr">
        <is>
          <t>Observar dónde termina.</t>
        </is>
      </c>
      <c r="C20" s="14" t="n"/>
      <c r="D20" s="18" t="inlineStr">
        <is>
          <t>Atraviesa una sola pared y queda en la celda transitable del otro lado.</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8.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CP-085</t>
        </is>
      </c>
      <c r="C1" s="13" t="inlineStr">
        <is>
          <t>Descripción / Funcionalidad</t>
        </is>
      </c>
      <c r="D1" s="18" t="inlineStr">
        <is>
          <t>HU-28 · Atravesar una pared con el Espectro</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95.3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Tras cruzar, el contacto con Pacman dentro de los 3 s no le quitó vidas (3 → 3); el espectro se ve translúcido y punteado. Espacio en cooldown no tuvo efecto; la estrella volvió a los 10 s. Precondición preparada por script (posiciones y fantasmas de la IA retirados) para aislar la condición.</t>
        </is>
      </c>
      <c r="L4" s="11" t="n"/>
    </row>
    <row r="5" ht="30" customHeight="1">
      <c r="A5" s="13" t="inlineStr">
        <is>
          <t>Prioridad (Alta, Media, Baja)</t>
        </is>
      </c>
      <c r="B5" s="18" t="inlineStr">
        <is>
          <t>Alta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16.2" customHeight="1">
      <c r="A9" s="8" t="n">
        <v>2</v>
      </c>
      <c r="B9" s="7" t="inlineStr">
        <is>
          <t>Igual que CP-084.</t>
        </is>
      </c>
      <c r="C9" s="14" t="n"/>
      <c r="D9" s="18" t="inlineStr">
        <is>
          <t>Navegador:</t>
        </is>
      </c>
      <c r="E9" s="7" t="inlineStr">
        <is>
          <t>Chromium 141 de escritorio</t>
        </is>
      </c>
    </row>
    <row r="11">
      <c r="A11" s="13" t="inlineStr">
        <is>
          <t>Título del CP</t>
        </is>
      </c>
      <c r="B11" s="34" t="inlineStr">
        <is>
          <t>Espectro: cooldown y estado de gracia</t>
        </is>
      </c>
      <c r="C11" s="14" t="n"/>
      <c r="D11" s="14" t="n"/>
      <c r="E11" s="14" t="n"/>
    </row>
    <row r="12">
      <c r="A12" s="33" t="n"/>
      <c r="B12" s="14" t="n"/>
      <c r="C12" s="14" t="n"/>
      <c r="D12" s="14" t="n"/>
      <c r="E12" s="14" t="n"/>
    </row>
    <row r="14">
      <c r="A14" s="13" t="inlineStr">
        <is>
          <t>Historias de Usuario</t>
        </is>
      </c>
      <c r="B14" s="7" t="inlineStr">
        <is>
          <t>HU-28</t>
        </is>
      </c>
      <c r="C14" s="13" t="inlineStr">
        <is>
          <t>Épica</t>
        </is>
      </c>
      <c r="D14" s="7" t="inlineStr">
        <is>
          <t>E7 — Poderes de los fantasmas</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29.4" customHeight="1">
      <c r="A18" s="8" t="n">
        <v>1</v>
      </c>
      <c r="B18" s="7" t="inlineStr">
        <is>
          <t>Atravesar el muro y tocar a Pacman dentro de los 3 s siguientes.</t>
        </is>
      </c>
      <c r="C18" s="14" t="n"/>
      <c r="D18" s="7" t="inlineStr">
        <is>
          <t>Pacman no pierde una vida; el espectro se ve translúcido con contorno punteado.</t>
        </is>
      </c>
      <c r="E18" s="14" t="n"/>
    </row>
    <row r="19" ht="29.4" customHeight="1">
      <c r="A19" s="8" t="n">
        <v>2</v>
      </c>
      <c r="B19" s="7" t="inlineStr">
        <is>
          <t>Presionar espacio antes de los 10 s y otra vez a los 10 s.</t>
        </is>
      </c>
      <c r="C19" s="14" t="n"/>
      <c r="D19" s="18" t="inlineStr">
        <is>
          <t>Antes de los 10 s no pasa nada; a los 10 s el poder vuelve a estar disponible.</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59.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CP-086</t>
        </is>
      </c>
      <c r="C1" s="13" t="inlineStr">
        <is>
          <t>Descripción / Funcionalidad</t>
        </is>
      </c>
      <c r="D1" s="18" t="inlineStr">
        <is>
          <t>HU-28 · Atravesar una pared con el Espectro</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82.1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Nivel 1: contra el muro grueso de abajo no atravesó; contra el borde superior no salió del mapa. La estrella siguió disponible en los dos intentos. Precondición preparada por script (posiciones y fantasmas de la IA retirados) para aislar la condición.</t>
        </is>
      </c>
      <c r="L4" s="11" t="n"/>
    </row>
    <row r="5" ht="30" customHeight="1">
      <c r="A5" s="13" t="inlineStr">
        <is>
          <t>Prioridad (Alta, Media, Baja)</t>
        </is>
      </c>
      <c r="B5" s="18" t="inlineStr">
        <is>
          <t>Media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con el Espectro.</t>
        </is>
      </c>
      <c r="C9" s="14" t="n"/>
      <c r="D9" s="18" t="inlineStr">
        <is>
          <t>Navegador:</t>
        </is>
      </c>
      <c r="E9" s="7" t="inlineStr">
        <is>
          <t>Chromium 141 de escritorio</t>
        </is>
      </c>
    </row>
    <row r="11">
      <c r="A11" s="13" t="inlineStr">
        <is>
          <t>Título del CP</t>
        </is>
      </c>
      <c r="B11" s="34" t="inlineStr">
        <is>
          <t>Espectro: sin destino válido no se activa</t>
        </is>
      </c>
      <c r="C11" s="14" t="n"/>
      <c r="D11" s="14" t="n"/>
      <c r="E11" s="14" t="n"/>
    </row>
    <row r="12">
      <c r="A12" s="33" t="n"/>
      <c r="B12" s="14" t="n"/>
      <c r="C12" s="14" t="n"/>
      <c r="D12" s="14" t="n"/>
      <c r="E12" s="14" t="n"/>
    </row>
    <row r="14">
      <c r="A14" s="13" t="inlineStr">
        <is>
          <t>Historias de Usuario</t>
        </is>
      </c>
      <c r="B14" s="7" t="inlineStr">
        <is>
          <t>HU-28</t>
        </is>
      </c>
      <c r="C14" s="13" t="inlineStr">
        <is>
          <t>Épica</t>
        </is>
      </c>
      <c r="D14" s="7" t="inlineStr">
        <is>
          <t>E7 — Poderes de los fantasmas</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29.4" customHeight="1">
      <c r="A18" s="8" t="n">
        <v>1</v>
      </c>
      <c r="B18" s="7" t="inlineStr">
        <is>
          <t>Nivel 1: presionar espacio contra un muro interior (2 a 4 celdas de espesor).</t>
        </is>
      </c>
      <c r="C18" s="14" t="n"/>
      <c r="D18" s="7" t="inlineStr">
        <is>
          <t>No atraviesa: no hay celda transitable inmediatamente del otro lado (decisión 26).</t>
        </is>
      </c>
      <c r="E18" s="14" t="n"/>
    </row>
    <row r="19" ht="29.4" customHeight="1">
      <c r="A19" s="8" t="n">
        <v>2</v>
      </c>
      <c r="B19" s="7" t="inlineStr">
        <is>
          <t>Presionar espacio contra el borde del mapa.</t>
        </is>
      </c>
      <c r="C19" s="14" t="n"/>
      <c r="D19" s="18" t="inlineStr">
        <is>
          <t>No sale del mapa y la estrella sigue disponible (el poder no se consumió).</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0.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CP-087</t>
        </is>
      </c>
      <c r="C1" s="13" t="inlineStr">
        <is>
          <t>Descripción / Funcionalidad</t>
        </is>
      </c>
      <c r="D1" s="18" t="inlineStr">
        <is>
          <t>HU-29 · Teletransportarse con el Saltarín</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55.8"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10 saltos; distancias Manhattan [4, 6, 5, 9, 5, 6, 7, 5, 9, 8]; todos a celdas transitables dentro del mapa. (Cooldown anulado por script entre saltos para no esperar 100 s.)</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con el Saltarín.</t>
        </is>
      </c>
      <c r="C9" s="14" t="n"/>
      <c r="D9" s="18" t="inlineStr">
        <is>
          <t>Navegador:</t>
        </is>
      </c>
      <c r="E9" s="7" t="inlineStr">
        <is>
          <t>Chromium 141 de escritorio</t>
        </is>
      </c>
    </row>
    <row r="10" ht="29.4" customHeight="1">
      <c r="A10" s="8" t="n"/>
      <c r="B10" s="7" t="n"/>
      <c r="C10" s="14" t="n"/>
      <c r="D10" s="18" t="inlineStr">
        <is>
          <t>Radio:</t>
        </is>
      </c>
      <c r="E10" s="7" t="inlineStr">
        <is>
          <t>distancia Manhattan ≤ 10 (decisión 31)</t>
        </is>
      </c>
    </row>
    <row r="12">
      <c r="A12" s="13" t="inlineStr">
        <is>
          <t>Título del CP</t>
        </is>
      </c>
      <c r="B12" s="34" t="inlineStr">
        <is>
          <t>Saltarín: destino dentro del radio y transitable</t>
        </is>
      </c>
      <c r="C12" s="14" t="n"/>
      <c r="D12" s="14" t="n"/>
      <c r="E12" s="14" t="n"/>
    </row>
    <row r="13">
      <c r="A13" s="33" t="n"/>
      <c r="B13" s="14" t="n"/>
      <c r="C13" s="14" t="n"/>
      <c r="D13" s="14" t="n"/>
      <c r="E13" s="14" t="n"/>
    </row>
    <row r="15">
      <c r="A15" s="13" t="inlineStr">
        <is>
          <t>Historias de Usuario</t>
        </is>
      </c>
      <c r="B15" s="7" t="inlineStr">
        <is>
          <t>HU-29</t>
        </is>
      </c>
      <c r="C15" s="13" t="inlineStr">
        <is>
          <t>Épica</t>
        </is>
      </c>
      <c r="D15" s="7" t="inlineStr">
        <is>
          <t>E7 — Poderes de los fantasmas</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c r="A18" s="13" t="inlineStr">
        <is>
          <t>Pasos #</t>
        </is>
      </c>
      <c r="B18" s="13" t="inlineStr">
        <is>
          <t>Detalle de pasos</t>
        </is>
      </c>
      <c r="C18" s="33" t="n"/>
      <c r="D18" s="13" t="inlineStr">
        <is>
          <t>Resultado esperado</t>
        </is>
      </c>
      <c r="E18" s="33" t="n"/>
    </row>
    <row r="19" ht="29.4" customHeight="1">
      <c r="A19" s="8" t="n">
        <v>1</v>
      </c>
      <c r="B19" s="7" t="inlineStr">
        <is>
          <t>Usar el poder 10 veces (esperando el cooldown), anotando origen y destino.</t>
        </is>
      </c>
      <c r="C19" s="14" t="n"/>
      <c r="D19" s="7" t="inlineStr">
        <is>
          <t>Cada salto lleva a otra celda.</t>
        </is>
      </c>
      <c r="E19" s="14" t="n"/>
    </row>
    <row r="20" ht="42.59999999999999" customHeight="1">
      <c r="A20" s="8" t="n">
        <v>2</v>
      </c>
      <c r="B20" s="7" t="inlineStr">
        <is>
          <t>Comparar origen y destino.</t>
        </is>
      </c>
      <c r="C20" s="14" t="n"/>
      <c r="D20" s="18" t="inlineStr">
        <is>
          <t>Todos los destinos están a distancia Manhattan ≤ 10 y son celdas transitables, nunca muros ni fuera del mapa.</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1.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CP-088</t>
        </is>
      </c>
      <c r="C1" s="13" t="inlineStr">
        <is>
          <t>Descripción / Funcionalidad</t>
        </is>
      </c>
      <c r="D1" s="18" t="inlineStr">
        <is>
          <t>HU-29 · Teletransportarse con el Saltarín</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30"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A los 9 s espacio no hizo nada; el poder volvió a los 9.92 s y saltó.</t>
        </is>
      </c>
      <c r="L4" s="11" t="n"/>
    </row>
    <row r="5" ht="30" customHeight="1">
      <c r="A5" s="13" t="inlineStr">
        <is>
          <t>Prioridad (Alta, Media, Baja)</t>
        </is>
      </c>
      <c r="B5" s="18" t="inlineStr">
        <is>
          <t>Media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con el Saltarín.</t>
        </is>
      </c>
      <c r="C9" s="14" t="n"/>
      <c r="D9" s="18" t="inlineStr">
        <is>
          <t>Navegador:</t>
        </is>
      </c>
      <c r="E9" s="7" t="inlineStr">
        <is>
          <t>Chromium 141 de escritorio</t>
        </is>
      </c>
    </row>
    <row r="11">
      <c r="A11" s="13" t="inlineStr">
        <is>
          <t>Título del CP</t>
        </is>
      </c>
      <c r="B11" s="34" t="inlineStr">
        <is>
          <t>Saltarín: cooldown de 10 s</t>
        </is>
      </c>
      <c r="C11" s="14" t="n"/>
      <c r="D11" s="14" t="n"/>
      <c r="E11" s="14" t="n"/>
    </row>
    <row r="12">
      <c r="A12" s="33" t="n"/>
      <c r="B12" s="14" t="n"/>
      <c r="C12" s="14" t="n"/>
      <c r="D12" s="14" t="n"/>
      <c r="E12" s="14" t="n"/>
    </row>
    <row r="14">
      <c r="A14" s="13" t="inlineStr">
        <is>
          <t>Historias de Usuario</t>
        </is>
      </c>
      <c r="B14" s="7" t="inlineStr">
        <is>
          <t>HU-29</t>
        </is>
      </c>
      <c r="C14" s="13" t="inlineStr">
        <is>
          <t>Épica</t>
        </is>
      </c>
      <c r="D14" s="7" t="inlineStr">
        <is>
          <t>E7 — Poderes de los fantasmas</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Saltar y presionar espacio a los 9 s.</t>
        </is>
      </c>
      <c r="C18" s="14" t="n"/>
      <c r="D18" s="7" t="inlineStr">
        <is>
          <t>No salta.</t>
        </is>
      </c>
      <c r="E18" s="14" t="n"/>
    </row>
    <row r="19" ht="16.2" customHeight="1">
      <c r="A19" s="8" t="n">
        <v>2</v>
      </c>
      <c r="B19" s="7" t="inlineStr">
        <is>
          <t>Presionar espacio a los 10 s.</t>
        </is>
      </c>
      <c r="C19" s="14" t="n"/>
      <c r="D19" s="18" t="inlineStr">
        <is>
          <t>Salta: el poder se reactiva recién a los 10 s.</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2.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CP-089</t>
        </is>
      </c>
      <c r="C1" s="13" t="inlineStr">
        <is>
          <t>Descripción / Funcionalidad</t>
        </is>
      </c>
      <c r="D1" s="18" t="inlineStr">
        <is>
          <t>HU-29 · Teletransportarse con el Saltarín</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55.8"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Repitiendo el salto desde (1,1) con Pacman quieto en (1,3), en el intento 10 el saltarín cayó sobre Pacman: vidas 3 → 2. (Cooldown anulado por script.)</t>
        </is>
      </c>
      <c r="L4" s="11" t="n"/>
    </row>
    <row r="5" ht="30" customHeight="1">
      <c r="A5" s="13" t="inlineStr">
        <is>
          <t>Prioridad (Alta, Media, Baja)</t>
        </is>
      </c>
      <c r="B5" s="18" t="inlineStr">
        <is>
          <t>Media</t>
        </is>
      </c>
      <c r="C5" s="13" t="inlineStr">
        <is>
          <t>Técnica de diseño</t>
        </is>
      </c>
      <c r="D5" s="7" t="inlineStr">
        <is>
          <t>Adivinación de errores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con el Saltarín, Pacman sin PowerUp.</t>
        </is>
      </c>
      <c r="C9" s="14" t="n"/>
      <c r="D9" s="18" t="inlineStr">
        <is>
          <t>Navegador:</t>
        </is>
      </c>
      <c r="E9" s="7" t="inlineStr">
        <is>
          <t>Chromium 141 de escritorio</t>
        </is>
      </c>
    </row>
    <row r="11">
      <c r="A11" s="13" t="inlineStr">
        <is>
          <t>Título del CP</t>
        </is>
      </c>
      <c r="B11" s="34" t="inlineStr">
        <is>
          <t>Saltarín: salto sobre Pacman</t>
        </is>
      </c>
      <c r="C11" s="14" t="n"/>
      <c r="D11" s="14" t="n"/>
      <c r="E11" s="14" t="n"/>
    </row>
    <row r="12">
      <c r="A12" s="33" t="n"/>
      <c r="B12" s="14" t="n"/>
      <c r="C12" s="14" t="n"/>
      <c r="D12" s="14" t="n"/>
      <c r="E12" s="14" t="n"/>
    </row>
    <row r="14">
      <c r="A14" s="13" t="inlineStr">
        <is>
          <t>Historias de Usuario</t>
        </is>
      </c>
      <c r="B14" s="7" t="inlineStr">
        <is>
          <t>HU-29</t>
        </is>
      </c>
      <c r="C14" s="13" t="inlineStr">
        <is>
          <t>Épica</t>
        </is>
      </c>
      <c r="D14" s="7" t="inlineStr">
        <is>
          <t>E7 — Poderes de los fantasmas</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29.4" customHeight="1">
      <c r="A18" s="8" t="n">
        <v>1</v>
      </c>
      <c r="B18" s="7" t="inlineStr">
        <is>
          <t>Saltar hasta que el destino coincida con la celda de Pacman.</t>
        </is>
      </c>
      <c r="C18" s="14" t="n"/>
      <c r="D18" s="7" t="inlineStr">
        <is>
          <t>El fantasma cae sobre Pacman.</t>
        </is>
      </c>
      <c r="E18" s="14" t="n"/>
    </row>
    <row r="19" ht="29.4" customHeight="1">
      <c r="A19" s="8" t="n">
        <v>2</v>
      </c>
      <c r="B19" s="7" t="inlineStr">
        <is>
          <t>Observar el contador.</t>
        </is>
      </c>
      <c r="C19" s="14" t="n"/>
      <c r="D19" s="18" t="inlineStr">
        <is>
          <t>Pacman pierde una vida (derrota producida por el jugador).</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3.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CP-090</t>
        </is>
      </c>
      <c r="C1" s="13" t="inlineStr">
        <is>
          <t>Descripción / Funcionalidad</t>
        </is>
      </c>
      <c r="D1" s="18" t="inlineStr">
        <is>
          <t>HU-30 · Colocar frutas falsas con el Naval</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6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El naval colocó la fruta falsa en (10,8), a 3 celdas de Pacman; Pacman fue por ella, la consumió y perdió una vida (3 → 2); el nivel se reinició (Pacman en (7, 8), fantasma en (1,1)). (Posiciones preparadas por script.)</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con el Naval, Pacman sin PowerUp.</t>
        </is>
      </c>
      <c r="C9" s="14" t="n"/>
      <c r="D9" s="18" t="inlineStr">
        <is>
          <t>Navegador:</t>
        </is>
      </c>
      <c r="E9" s="7" t="inlineStr">
        <is>
          <t>Chromium 141 de escritorio</t>
        </is>
      </c>
    </row>
    <row r="11">
      <c r="A11" s="13" t="inlineStr">
        <is>
          <t>Título del CP</t>
        </is>
      </c>
      <c r="B11" s="34" t="inlineStr">
        <is>
          <t>Naval: fruta falsa consumida por Pacman</t>
        </is>
      </c>
      <c r="C11" s="14" t="n"/>
      <c r="D11" s="14" t="n"/>
      <c r="E11" s="14" t="n"/>
    </row>
    <row r="12">
      <c r="A12" s="33" t="n"/>
      <c r="B12" s="14" t="n"/>
      <c r="C12" s="14" t="n"/>
      <c r="D12" s="14" t="n"/>
      <c r="E12" s="14" t="n"/>
    </row>
    <row r="14">
      <c r="A14" s="13" t="inlineStr">
        <is>
          <t>Historias de Usuario</t>
        </is>
      </c>
      <c r="B14" s="7" t="inlineStr">
        <is>
          <t>HU-30</t>
        </is>
      </c>
      <c r="C14" s="13" t="inlineStr">
        <is>
          <t>Épica</t>
        </is>
      </c>
      <c r="D14" s="7" t="inlineStr">
        <is>
          <t>E7 — Poderes de los fantasmas</t>
        </is>
      </c>
      <c r="E14" s="14" t="n"/>
    </row>
    <row r="15" ht="28" customHeight="1">
      <c r="A15" s="13" t="inlineStr">
        <is>
          <t>Estado Automatización</t>
        </is>
      </c>
      <c r="B15" s="7" t="inlineStr">
        <is>
          <t>Automatizado (script de navegador, Entrega 2)</t>
        </is>
      </c>
      <c r="C15" s="13" t="inlineStr">
        <is>
          <t>Camino feliz</t>
        </is>
      </c>
      <c r="D15" s="7" t="inlineStr">
        <is>
          <t>Sí</t>
        </is>
      </c>
      <c r="E15" s="14" t="n"/>
    </row>
    <row r="17">
      <c r="A17" s="13" t="inlineStr">
        <is>
          <t>Pasos #</t>
        </is>
      </c>
      <c r="B17" s="13" t="inlineStr">
        <is>
          <t>Detalle de pasos</t>
        </is>
      </c>
      <c r="C17" s="33" t="n"/>
      <c r="D17" s="13" t="inlineStr">
        <is>
          <t>Resultado esperado</t>
        </is>
      </c>
      <c r="E17" s="33" t="n"/>
    </row>
    <row r="18" ht="16.2" customHeight="1">
      <c r="A18" s="8" t="n">
        <v>1</v>
      </c>
      <c r="B18" s="7" t="inlineStr">
        <is>
          <t>Colocar una fruta falsa en el camino de Pacman.</t>
        </is>
      </c>
      <c r="C18" s="14" t="n"/>
      <c r="D18" s="7" t="inlineStr">
        <is>
          <t>La fruta falsa aparece en la celda del fantasma.</t>
        </is>
      </c>
      <c r="E18" s="14" t="n"/>
    </row>
    <row r="19" ht="16.2" customHeight="1">
      <c r="A19" s="8" t="n">
        <v>2</v>
      </c>
      <c r="B19" s="7" t="inlineStr">
        <is>
          <t>Esperar a que Pacman la consuma.</t>
        </is>
      </c>
      <c r="C19" s="14" t="n"/>
      <c r="D19" s="18" t="inlineStr">
        <is>
          <t>Pacman pierde una vida y el nivel se reinicia.</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4.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CP-091</t>
        </is>
      </c>
      <c r="C1" s="13" t="inlineStr">
        <is>
          <t>Descripción / Funcionalidad</t>
        </is>
      </c>
      <c r="D1" s="18" t="inlineStr">
        <is>
          <t>HU-30 · Colocar frutas falsas con el Naval</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55.8"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Con el PowerUp activo Pacman consumió la fruta falsa: desapareció sin efecto (vidas 3 → 3; puntaje 0 → 0, sin descuento). (Posiciones preparadas por script.)</t>
        </is>
      </c>
      <c r="L4" s="11" t="n"/>
    </row>
    <row r="5" ht="30" customHeight="1">
      <c r="A5" s="13" t="inlineStr">
        <is>
          <t>Prioridad (Alta, Media, Baja)</t>
        </is>
      </c>
      <c r="B5" s="18" t="inlineStr">
        <is>
          <t>Alta</t>
        </is>
      </c>
      <c r="C5" s="13" t="inlineStr">
        <is>
          <t>Técnica de diseño</t>
        </is>
      </c>
      <c r="D5" s="7" t="inlineStr">
        <is>
          <t>Tabla de decisión</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con el Naval, PowerUp de Pacman activo.</t>
        </is>
      </c>
      <c r="C9" s="14" t="n"/>
      <c r="D9" s="18" t="inlineStr">
        <is>
          <t>Navegador:</t>
        </is>
      </c>
      <c r="E9" s="7" t="inlineStr">
        <is>
          <t>Chromium 141 de escritorio</t>
        </is>
      </c>
    </row>
    <row r="11">
      <c r="A11" s="13" t="inlineStr">
        <is>
          <t>Título del CP</t>
        </is>
      </c>
      <c r="B11" s="34" t="inlineStr">
        <is>
          <t>Naval: fruta falsa con el PowerUp de Pacman</t>
        </is>
      </c>
      <c r="C11" s="14" t="n"/>
      <c r="D11" s="14" t="n"/>
      <c r="E11" s="14" t="n"/>
    </row>
    <row r="12">
      <c r="A12" s="33" t="n"/>
      <c r="B12" s="14" t="n"/>
      <c r="C12" s="14" t="n"/>
      <c r="D12" s="14" t="n"/>
      <c r="E12" s="14" t="n"/>
    </row>
    <row r="14">
      <c r="A14" s="13" t="inlineStr">
        <is>
          <t>Historias de Usuario</t>
        </is>
      </c>
      <c r="B14" s="7" t="inlineStr">
        <is>
          <t>HU-30</t>
        </is>
      </c>
      <c r="C14" s="13" t="inlineStr">
        <is>
          <t>Épica</t>
        </is>
      </c>
      <c r="D14" s="7" t="inlineStr">
        <is>
          <t>E7 — Poderes de los fantasmas</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Colocar una fruta falsa en el camino de Pacman.</t>
        </is>
      </c>
      <c r="C18" s="14" t="n"/>
      <c r="D18" s="7" t="inlineStr">
        <is>
          <t>La fruta aparece.</t>
        </is>
      </c>
      <c r="E18" s="14" t="n"/>
    </row>
    <row r="19" ht="29.4" customHeight="1">
      <c r="A19" s="8" t="n">
        <v>2</v>
      </c>
      <c r="B19" s="7" t="inlineStr">
        <is>
          <t>Esperar a que Pacman la consuma.</t>
        </is>
      </c>
      <c r="C19" s="14" t="n"/>
      <c r="D19" s="18" t="inlineStr">
        <is>
          <t>La fruta desaparece sin efecto: Pacman no pierde vidas y nadie suma puntos (decisión 27).</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5.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CP-092</t>
        </is>
      </c>
      <c r="C1" s="13" t="inlineStr">
        <is>
          <t>Descripción / Funcionalidad</t>
        </is>
      </c>
      <c r="D1" s="18" t="inlineStr">
        <is>
          <t>HU-30 · Colocar frutas falsas con el Naval</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Explotó a los 9.92 s; cubrió 9 celdas, todas transitables y a ≤ 3 pasos (máx. Manhattan 3); se vio la cuenta regresiva desde los 7 s.</t>
        </is>
      </c>
      <c r="L4" s="11" t="n"/>
    </row>
    <row r="5" ht="30" customHeight="1">
      <c r="A5" s="13" t="inlineStr">
        <is>
          <t>Prioridad (Alta, Media, Baja)</t>
        </is>
      </c>
      <c r="B5" s="18" t="inlineStr">
        <is>
          <t>Alta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con el Naval.</t>
        </is>
      </c>
      <c r="C9" s="14" t="n"/>
      <c r="D9" s="18" t="inlineStr">
        <is>
          <t>Navegador:</t>
        </is>
      </c>
      <c r="E9" s="7" t="inlineStr">
        <is>
          <t>Chromium 141 de escritorio</t>
        </is>
      </c>
    </row>
    <row r="10" ht="29.4" customHeight="1">
      <c r="A10" s="8" t="n"/>
      <c r="B10" s="7" t="n"/>
      <c r="C10" s="14" t="n"/>
      <c r="D10" s="18" t="inlineStr">
        <is>
          <t>Radio:</t>
        </is>
      </c>
      <c r="E10" s="7" t="inlineStr">
        <is>
          <t>≤ 3 pasos por celdas transitables (decisión 27)</t>
        </is>
      </c>
    </row>
    <row r="12">
      <c r="A12" s="13" t="inlineStr">
        <is>
          <t>Título del CP</t>
        </is>
      </c>
      <c r="B12" s="34" t="inlineStr">
        <is>
          <t>Naval: explosión a los 10 s</t>
        </is>
      </c>
      <c r="C12" s="14" t="n"/>
      <c r="D12" s="14" t="n"/>
      <c r="E12" s="14" t="n"/>
    </row>
    <row r="13">
      <c r="A13" s="33" t="n"/>
      <c r="B13" s="14" t="n"/>
      <c r="C13" s="14" t="n"/>
      <c r="D13" s="14" t="n"/>
      <c r="E13" s="14" t="n"/>
    </row>
    <row r="15">
      <c r="A15" s="13" t="inlineStr">
        <is>
          <t>Historias de Usuario</t>
        </is>
      </c>
      <c r="B15" s="7" t="inlineStr">
        <is>
          <t>HU-30</t>
        </is>
      </c>
      <c r="C15" s="13" t="inlineStr">
        <is>
          <t>Épica</t>
        </is>
      </c>
      <c r="D15" s="7" t="inlineStr">
        <is>
          <t>E7 — Poderes de los fantasmas</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c r="A18" s="13" t="inlineStr">
        <is>
          <t>Pasos #</t>
        </is>
      </c>
      <c r="B18" s="13" t="inlineStr">
        <is>
          <t>Detalle de pasos</t>
        </is>
      </c>
      <c r="C18" s="33" t="n"/>
      <c r="D18" s="13" t="inlineStr">
        <is>
          <t>Resultado esperado</t>
        </is>
      </c>
      <c r="E18" s="33" t="n"/>
    </row>
    <row r="19" ht="16.2" customHeight="1">
      <c r="A19" s="8" t="n">
        <v>1</v>
      </c>
      <c r="B19" s="7" t="inlineStr">
        <is>
          <t>Colocar una fruta falsa y cronometrar.</t>
        </is>
      </c>
      <c r="C19" s="14" t="n"/>
      <c r="D19" s="7" t="inlineStr">
        <is>
          <t>A partir de los 7 s se ve la cuenta regresiva.</t>
        </is>
      </c>
      <c r="E19" s="14" t="n"/>
    </row>
    <row r="20" ht="29.4" customHeight="1">
      <c r="A20" s="8" t="n">
        <v>2</v>
      </c>
      <c r="B20" s="7" t="inlineStr">
        <is>
          <t>Observar a los 10 s.</t>
        </is>
      </c>
      <c r="C20" s="14" t="n"/>
      <c r="D20" s="18" t="inlineStr">
        <is>
          <t>Explota cubriendo las celdas a 3 pasos o menos, sin atravesar paredes.</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6.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CP-093</t>
        </is>
      </c>
      <c r="C1" s="13" t="inlineStr">
        <is>
          <t>Descripción / Funcionalidad</t>
        </is>
      </c>
      <c r="D1" s="18" t="inlineStr">
        <is>
          <t>HU-30 · Colocar frutas falsas con el Naval</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95.3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A los 3 s no colocó (quedó 1); a los 5 s colocó la segunda (2); con 2 en el mapa, la tercera no se colocó (2) y el poder no se consumió (cooldown 0). (Para el tercer intento el cooldown se anuló por script: con 5 s de cooldown y 10 s de vida, la primera fruta explota justo cuando vuelve el poder.)</t>
        </is>
      </c>
      <c r="L4" s="11" t="n"/>
    </row>
    <row r="5" ht="30" customHeight="1">
      <c r="A5" s="13" t="inlineStr">
        <is>
          <t>Prioridad (Alta, Media, Baja)</t>
        </is>
      </c>
      <c r="B5" s="18" t="inlineStr">
        <is>
          <t>Media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con el Naval.</t>
        </is>
      </c>
      <c r="C9" s="14" t="n"/>
      <c r="D9" s="18" t="inlineStr">
        <is>
          <t>Navegador:</t>
        </is>
      </c>
      <c r="E9" s="7" t="inlineStr">
        <is>
          <t>Chromium 141 de escritorio</t>
        </is>
      </c>
    </row>
    <row r="11">
      <c r="A11" s="13" t="inlineStr">
        <is>
          <t>Título del CP</t>
        </is>
      </c>
      <c r="B11" s="34" t="inlineStr">
        <is>
          <t>Naval: máximo de 2 frutas y cooldown de 5 s</t>
        </is>
      </c>
      <c r="C11" s="14" t="n"/>
      <c r="D11" s="14" t="n"/>
      <c r="E11" s="14" t="n"/>
    </row>
    <row r="12">
      <c r="A12" s="33" t="n"/>
      <c r="B12" s="14" t="n"/>
      <c r="C12" s="14" t="n"/>
      <c r="D12" s="14" t="n"/>
      <c r="E12" s="14" t="n"/>
    </row>
    <row r="14">
      <c r="A14" s="13" t="inlineStr">
        <is>
          <t>Historias de Usuario</t>
        </is>
      </c>
      <c r="B14" s="7" t="inlineStr">
        <is>
          <t>HU-30</t>
        </is>
      </c>
      <c r="C14" s="13" t="inlineStr">
        <is>
          <t>Épica</t>
        </is>
      </c>
      <c r="D14" s="7" t="inlineStr">
        <is>
          <t>E7 — Poderes de los fantasmas</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Colocar una fruta e intentar otra a los 3 s.</t>
        </is>
      </c>
      <c r="C18" s="14" t="n"/>
      <c r="D18" s="7" t="inlineStr">
        <is>
          <t>No se coloca (cooldown de 5 s).</t>
        </is>
      </c>
      <c r="E18" s="14" t="n"/>
    </row>
    <row r="19" ht="29.4" customHeight="1">
      <c r="A19" s="8" t="n">
        <v>2</v>
      </c>
      <c r="B19" s="7" t="inlineStr">
        <is>
          <t>Colocar otra a los 5 s e intentar una tercera a los 11 s, en otra celda, antes de que exploten.</t>
        </is>
      </c>
      <c r="C19" s="14" t="n"/>
      <c r="D19" s="18" t="inlineStr">
        <is>
          <t>Nunca hay más de 2 frutas falsas en el mapa.</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7.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CP-094</t>
        </is>
      </c>
      <c r="C1" s="13" t="inlineStr">
        <is>
          <t>Descripción / Funcionalidad</t>
        </is>
      </c>
      <c r="D1" s="18" t="inlineStr">
        <is>
          <t>HU-30 · Colocar frutas falsas con el Naval</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Fruta real (cereza roja) en (1,6) y fruta falsa en (1,4): se distinguen a la vista (ver captura CP-094.png).</t>
        </is>
      </c>
      <c r="L4" s="11" t="n"/>
    </row>
    <row r="5" ht="30" customHeight="1">
      <c r="A5" s="13" t="inlineStr">
        <is>
          <t>Prioridad (Alta, Media, Baja)</t>
        </is>
      </c>
      <c r="B5" s="18" t="inlineStr">
        <is>
          <t>Media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con el Naval, nivel 3 (hay frutas reales).</t>
        </is>
      </c>
      <c r="C9" s="14" t="n"/>
      <c r="D9" s="18" t="inlineStr">
        <is>
          <t>Navegador:</t>
        </is>
      </c>
      <c r="E9" s="7" t="inlineStr">
        <is>
          <t>Chromium 141 de escritorio</t>
        </is>
      </c>
    </row>
    <row r="11">
      <c r="A11" s="13" t="inlineStr">
        <is>
          <t>Título del CP</t>
        </is>
      </c>
      <c r="B11" s="34" t="inlineStr">
        <is>
          <t>Naval: fruta falsa distinguible de la real</t>
        </is>
      </c>
      <c r="C11" s="14" t="n"/>
      <c r="D11" s="14" t="n"/>
      <c r="E11" s="14" t="n"/>
    </row>
    <row r="12">
      <c r="A12" s="33" t="n"/>
      <c r="B12" s="14" t="n"/>
      <c r="C12" s="14" t="n"/>
      <c r="D12" s="14" t="n"/>
      <c r="E12" s="14" t="n"/>
    </row>
    <row r="14">
      <c r="A14" s="13" t="inlineStr">
        <is>
          <t>Historias de Usuario</t>
        </is>
      </c>
      <c r="B14" s="7" t="inlineStr">
        <is>
          <t>HU-30</t>
        </is>
      </c>
      <c r="C14" s="13" t="inlineStr">
        <is>
          <t>Épica</t>
        </is>
      </c>
      <c r="D14" s="7" t="inlineStr">
        <is>
          <t>E7 — Poderes de los fantasmas</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Colocar una fruta falsa cerca de una real.</t>
        </is>
      </c>
      <c r="C18" s="14" t="n"/>
      <c r="D18" s="7" t="inlineStr">
        <is>
          <t>Las dos se ven en el mapa.</t>
        </is>
      </c>
      <c r="E18" s="14" t="n"/>
    </row>
    <row r="19" ht="16.2" customHeight="1">
      <c r="A19" s="8" t="n">
        <v>2</v>
      </c>
      <c r="B19" s="7" t="inlineStr">
        <is>
          <t>Compararlas.</t>
        </is>
      </c>
      <c r="C19" s="14" t="n"/>
      <c r="D19" s="18" t="inlineStr">
        <is>
          <t>Se diferencian visualmente.</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8.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CP-095</t>
        </is>
      </c>
      <c r="C1" s="13" t="inlineStr">
        <is>
          <t>Descripción / Funcionalidad</t>
        </is>
      </c>
      <c r="D1" s="18" t="inlineStr">
        <is>
          <t>HU-31 · Hacer un dash con el Acelerado</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Desde (1,4) con pasillo libre avanzó 3 celdas (col 7); desde (1,13) con el borde a 2 celdas se detuvo en la última transitable (col 15).</t>
        </is>
      </c>
      <c r="L4" s="11" t="n"/>
    </row>
    <row r="5" ht="30" customHeight="1">
      <c r="A5" s="13" t="inlineStr">
        <is>
          <t>Prioridad (Alta, Media, Baja)</t>
        </is>
      </c>
      <c r="B5" s="18" t="inlineStr">
        <is>
          <t>Alta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con el Acelerado, avanzando por un pasillo.</t>
        </is>
      </c>
      <c r="C9" s="14" t="n"/>
      <c r="D9" s="18" t="inlineStr">
        <is>
          <t>Navegador:</t>
        </is>
      </c>
      <c r="E9" s="7" t="inlineStr">
        <is>
          <t>Chromium 141 de escritorio</t>
        </is>
      </c>
    </row>
    <row r="11">
      <c r="A11" s="13" t="inlineStr">
        <is>
          <t>Título del CP</t>
        </is>
      </c>
      <c r="B11" s="34" t="inlineStr">
        <is>
          <t>Acelerado: dash de hasta 3 celdas</t>
        </is>
      </c>
      <c r="C11" s="14" t="n"/>
      <c r="D11" s="14" t="n"/>
      <c r="E11" s="14" t="n"/>
    </row>
    <row r="12">
      <c r="A12" s="33" t="n"/>
      <c r="B12" s="14" t="n"/>
      <c r="C12" s="14" t="n"/>
      <c r="D12" s="14" t="n"/>
      <c r="E12" s="14" t="n"/>
    </row>
    <row r="14">
      <c r="A14" s="13" t="inlineStr">
        <is>
          <t>Historias de Usuario</t>
        </is>
      </c>
      <c r="B14" s="7" t="inlineStr">
        <is>
          <t>HU-31</t>
        </is>
      </c>
      <c r="C14" s="13" t="inlineStr">
        <is>
          <t>Épica</t>
        </is>
      </c>
      <c r="D14" s="7" t="inlineStr">
        <is>
          <t>E7 — Poderes de los fantasmas</t>
        </is>
      </c>
      <c r="E14" s="14" t="n"/>
    </row>
    <row r="15" ht="28" customHeight="1">
      <c r="A15" s="13" t="inlineStr">
        <is>
          <t>Estado Automatización</t>
        </is>
      </c>
      <c r="B15" s="7" t="inlineStr">
        <is>
          <t>Automatizado (script de navegador, Entrega 2)</t>
        </is>
      </c>
      <c r="C15" s="13" t="inlineStr">
        <is>
          <t>Camino feliz</t>
        </is>
      </c>
      <c r="D15" s="7" t="inlineStr">
        <is>
          <t>Sí</t>
        </is>
      </c>
      <c r="E15" s="14" t="n"/>
    </row>
    <row r="17">
      <c r="A17" s="13" t="inlineStr">
        <is>
          <t>Pasos #</t>
        </is>
      </c>
      <c r="B17" s="13" t="inlineStr">
        <is>
          <t>Detalle de pasos</t>
        </is>
      </c>
      <c r="C17" s="33" t="n"/>
      <c r="D17" s="13" t="inlineStr">
        <is>
          <t>Resultado esperado</t>
        </is>
      </c>
      <c r="E17" s="33" t="n"/>
    </row>
    <row r="18" ht="29.4" customHeight="1">
      <c r="A18" s="8" t="n">
        <v>1</v>
      </c>
      <c r="B18" s="7" t="inlineStr">
        <is>
          <t>Usar el poder con 3 o más celdas libres por delante.</t>
        </is>
      </c>
      <c r="C18" s="14" t="n"/>
      <c r="D18" s="7" t="inlineStr">
        <is>
          <t>Avanza exactamente 3 celdas.</t>
        </is>
      </c>
      <c r="E18" s="14" t="n"/>
    </row>
    <row r="19" ht="29.4" customHeight="1">
      <c r="A19" s="8" t="n">
        <v>2</v>
      </c>
      <c r="B19" s="7" t="inlineStr">
        <is>
          <t>Usar el poder con una pared a 2 celdas.</t>
        </is>
      </c>
      <c r="C19" s="14" t="n"/>
      <c r="D19" s="18" t="inlineStr">
        <is>
          <t>Se detiene en la última celda transitable antes de la pared.</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69.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CP-096</t>
        </is>
      </c>
      <c r="C1" s="13" t="inlineStr">
        <is>
          <t>Descripción / Funcionalidad</t>
        </is>
      </c>
      <c r="D1" s="18" t="inlineStr">
        <is>
          <t>HU-31 · Hacer un dash con el Acelerado</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30"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Después del dash: 2.46 celdas/s; pasados los 5 s: 5.00 celdas/s.</t>
        </is>
      </c>
      <c r="L4" s="11" t="n"/>
    </row>
    <row r="5" ht="30" customHeight="1">
      <c r="A5" s="13" t="inlineStr">
        <is>
          <t>Prioridad (Alta, Media, Baja)</t>
        </is>
      </c>
      <c r="B5" s="18" t="inlineStr">
        <is>
          <t>Alta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con el Acelerado.</t>
        </is>
      </c>
      <c r="C9" s="14" t="n"/>
      <c r="D9" s="18" t="inlineStr">
        <is>
          <t>Navegador:</t>
        </is>
      </c>
      <c r="E9" s="7" t="inlineStr">
        <is>
          <t>Chromium 141 de escritorio</t>
        </is>
      </c>
    </row>
    <row r="10" ht="29.4" customHeight="1">
      <c r="A10" s="8" t="n"/>
      <c r="B10" s="7" t="n"/>
      <c r="C10" s="14" t="n"/>
      <c r="D10" s="18" t="inlineStr">
        <is>
          <t>Velocidades:</t>
        </is>
      </c>
      <c r="E10" s="7" t="inlineStr">
        <is>
          <t>5 celdas/s; 2,5 durante la penalidad</t>
        </is>
      </c>
    </row>
    <row r="12">
      <c r="A12" s="13" t="inlineStr">
        <is>
          <t>Título del CP</t>
        </is>
      </c>
      <c r="B12" s="34" t="inlineStr">
        <is>
          <t>Acelerado: penalidad de velocidad posterior</t>
        </is>
      </c>
      <c r="C12" s="14" t="n"/>
      <c r="D12" s="14" t="n"/>
      <c r="E12" s="14" t="n"/>
    </row>
    <row r="13">
      <c r="A13" s="33" t="n"/>
      <c r="B13" s="14" t="n"/>
      <c r="C13" s="14" t="n"/>
      <c r="D13" s="14" t="n"/>
      <c r="E13" s="14" t="n"/>
    </row>
    <row r="15">
      <c r="A15" s="13" t="inlineStr">
        <is>
          <t>Historias de Usuario</t>
        </is>
      </c>
      <c r="B15" s="7" t="inlineStr">
        <is>
          <t>HU-31</t>
        </is>
      </c>
      <c r="C15" s="13" t="inlineStr">
        <is>
          <t>Épica</t>
        </is>
      </c>
      <c r="D15" s="7" t="inlineStr">
        <is>
          <t>E7 — Poderes de los fantasmas</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29.4" customHeight="1">
      <c r="A19" s="8" t="n">
        <v>1</v>
      </c>
      <c r="B19" s="7" t="inlineStr">
        <is>
          <t>Hacer un dash y medir la velocidad en los 5 s siguientes.</t>
        </is>
      </c>
      <c r="C19" s="14" t="n"/>
      <c r="D19" s="7" t="inlineStr">
        <is>
          <t>Se mueve a la mitad (2,5 celdas/s).</t>
        </is>
      </c>
      <c r="E19" s="14" t="n"/>
    </row>
    <row r="20" ht="16.2" customHeight="1">
      <c r="A20" s="8" t="n">
        <v>2</v>
      </c>
      <c r="B20" s="7" t="inlineStr">
        <is>
          <t>Medir después de los 5 s.</t>
        </is>
      </c>
      <c r="C20" s="14" t="n"/>
      <c r="D20" s="18" t="inlineStr">
        <is>
          <t>Recupera 5 celdas/s.</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0.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CP-097</t>
        </is>
      </c>
      <c r="C1" s="13" t="inlineStr">
        <is>
          <t>Descripción / Funcionalidad</t>
        </is>
      </c>
      <c r="D1" s="18" t="inlineStr">
        <is>
          <t>HU-31 · Hacer un dash con el Acelerado</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30"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Sin moverlo desde la aparición, espacio no lo desplazó y la estrella siguió disponible.</t>
        </is>
      </c>
      <c r="L4" s="11" t="n"/>
    </row>
    <row r="5" ht="30" customHeight="1">
      <c r="A5" s="13" t="inlineStr">
        <is>
          <t>Prioridad (Alta, Media, Baja)</t>
        </is>
      </c>
      <c r="B5" s="18" t="inlineStr">
        <is>
          <t>Baja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recién iniciada con el Acelerado, sin haberlo movido.</t>
        </is>
      </c>
      <c r="C9" s="14" t="n"/>
      <c r="D9" s="18" t="inlineStr">
        <is>
          <t>Navegador:</t>
        </is>
      </c>
      <c r="E9" s="7" t="inlineStr">
        <is>
          <t>Chromium 141 de escritorio</t>
        </is>
      </c>
    </row>
    <row r="11">
      <c r="A11" s="13" t="inlineStr">
        <is>
          <t>Título del CP</t>
        </is>
      </c>
      <c r="B11" s="34" t="inlineStr">
        <is>
          <t>Acelerado: dash sin dirección de avance</t>
        </is>
      </c>
      <c r="C11" s="14" t="n"/>
      <c r="D11" s="14" t="n"/>
      <c r="E11" s="14" t="n"/>
    </row>
    <row r="12">
      <c r="A12" s="33" t="n"/>
      <c r="B12" s="14" t="n"/>
      <c r="C12" s="14" t="n"/>
      <c r="D12" s="14" t="n"/>
      <c r="E12" s="14" t="n"/>
    </row>
    <row r="14">
      <c r="A14" s="13" t="inlineStr">
        <is>
          <t>Historias de Usuario</t>
        </is>
      </c>
      <c r="B14" s="7" t="inlineStr">
        <is>
          <t>HU-31</t>
        </is>
      </c>
      <c r="C14" s="13" t="inlineStr">
        <is>
          <t>Épica</t>
        </is>
      </c>
      <c r="D14" s="7" t="inlineStr">
        <is>
          <t>E7 — Poderes de los fantasmas</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Presionar espacio sin mover el fantasma.</t>
        </is>
      </c>
      <c r="C18" s="14" t="n"/>
      <c r="D18" s="7" t="inlineStr">
        <is>
          <t>No hay desplazamiento.</t>
        </is>
      </c>
      <c r="E18" s="14" t="n"/>
    </row>
    <row r="19" ht="16.2" customHeight="1">
      <c r="A19" s="8" t="n">
        <v>2</v>
      </c>
      <c r="B19" s="7" t="inlineStr">
        <is>
          <t>Observar la estrella.</t>
        </is>
      </c>
      <c r="C19" s="14" t="n"/>
      <c r="D19" s="18" t="inlineStr">
        <is>
          <t>Sigue disponible: el poder no se consumió.</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1.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CP-098</t>
        </is>
      </c>
      <c r="C1" s="13" t="inlineStr">
        <is>
          <t>Descripción / Funcionalidad</t>
        </is>
      </c>
      <c r="D1" s="18" t="inlineStr">
        <is>
          <t>HU-32 · Saber cuándo puedo usar mi poder</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Estrella encendida abajo a la izquierda junto a las vidas; se apagó al saltar y volvió a encenderse a los 9.93 s.</t>
        </is>
      </c>
      <c r="L4" s="11" t="n"/>
    </row>
    <row r="5" ht="30" customHeight="1">
      <c r="A5" s="13" t="inlineStr">
        <is>
          <t>Prioridad (Alta, Media, Baja)</t>
        </is>
      </c>
      <c r="B5" s="18" t="inlineStr">
        <is>
          <t>Media</t>
        </is>
      </c>
      <c r="C5" s="13" t="inlineStr">
        <is>
          <t>Técnica de diseño</t>
        </is>
      </c>
      <c r="D5" s="7" t="inlineStr">
        <is>
          <t>Transición de estados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con el Saltarín.</t>
        </is>
      </c>
      <c r="C9" s="14" t="n"/>
      <c r="D9" s="18" t="inlineStr">
        <is>
          <t>Navegador:</t>
        </is>
      </c>
      <c r="E9" s="7" t="inlineStr">
        <is>
          <t>Chromium 141 de escritorio</t>
        </is>
      </c>
    </row>
    <row r="11">
      <c r="A11" s="13" t="inlineStr">
        <is>
          <t>Título del CP</t>
        </is>
      </c>
      <c r="B11" s="34" t="inlineStr">
        <is>
          <t>Indicador de poder disponible</t>
        </is>
      </c>
      <c r="C11" s="14" t="n"/>
      <c r="D11" s="14" t="n"/>
      <c r="E11" s="14" t="n"/>
    </row>
    <row r="12">
      <c r="A12" s="33" t="n"/>
      <c r="B12" s="14" t="n"/>
      <c r="C12" s="14" t="n"/>
      <c r="D12" s="14" t="n"/>
      <c r="E12" s="14" t="n"/>
    </row>
    <row r="14">
      <c r="A14" s="13" t="inlineStr">
        <is>
          <t>Historias de Usuario</t>
        </is>
      </c>
      <c r="B14" s="7" t="inlineStr">
        <is>
          <t>HU-32</t>
        </is>
      </c>
      <c r="C14" s="13" t="inlineStr">
        <is>
          <t>Épica</t>
        </is>
      </c>
      <c r="D14" s="7" t="inlineStr">
        <is>
          <t>E7 — Poderes de los fantasmas</t>
        </is>
      </c>
      <c r="E14" s="14" t="n"/>
    </row>
    <row r="15" ht="28" customHeight="1">
      <c r="A15" s="13" t="inlineStr">
        <is>
          <t>Estado Automatización</t>
        </is>
      </c>
      <c r="B15" s="7" t="inlineStr">
        <is>
          <t>Automatizado (script de navegador, Entrega 2)</t>
        </is>
      </c>
      <c r="C15" s="13" t="inlineStr">
        <is>
          <t>Camino feliz</t>
        </is>
      </c>
      <c r="D15" s="7" t="inlineStr">
        <is>
          <t>Sí</t>
        </is>
      </c>
      <c r="E15" s="14" t="n"/>
    </row>
    <row r="17">
      <c r="A17" s="13" t="inlineStr">
        <is>
          <t>Pasos #</t>
        </is>
      </c>
      <c r="B17" s="13" t="inlineStr">
        <is>
          <t>Detalle de pasos</t>
        </is>
      </c>
      <c r="C17" s="33" t="n"/>
      <c r="D17" s="13" t="inlineStr">
        <is>
          <t>Resultado esperado</t>
        </is>
      </c>
      <c r="E17" s="33" t="n"/>
    </row>
    <row r="18" ht="29.4" customHeight="1">
      <c r="A18" s="8" t="n">
        <v>1</v>
      </c>
      <c r="B18" s="7" t="inlineStr">
        <is>
          <t>Observar la estrella al empezar.</t>
        </is>
      </c>
      <c r="C18" s="14" t="n"/>
      <c r="D18" s="7" t="inlineStr">
        <is>
          <t>Estrella encendida abajo a la izquierda, junto a las vidas.</t>
        </is>
      </c>
      <c r="E18" s="14" t="n"/>
    </row>
    <row r="19" ht="29.4" customHeight="1">
      <c r="A19" s="8" t="n">
        <v>2</v>
      </c>
      <c r="B19" s="7" t="inlineStr">
        <is>
          <t>Usar el poder y observar.</t>
        </is>
      </c>
      <c r="C19" s="14" t="n"/>
      <c r="D19" s="18" t="inlineStr">
        <is>
          <t>La estrella se apaga durante el cooldown y se enciende a los 10 s exactos.</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2.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CP-099</t>
        </is>
      </c>
      <c r="C1" s="13" t="inlineStr">
        <is>
          <t>Descripción / Funcionalidad</t>
        </is>
      </c>
      <c r="D1" s="18" t="inlineStr">
        <is>
          <t>HU-32 · Saber cuándo puedo usar mi poder</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Con el Clásico la barra inferior muestra solo las vidas de Pacman; sin estrella, y espacio no hace nada.</t>
        </is>
      </c>
      <c r="L4" s="11" t="n"/>
    </row>
    <row r="5" ht="30" customHeight="1">
      <c r="A5" s="13" t="inlineStr">
        <is>
          <t>Prioridad (Alta, Media, Baja)</t>
        </is>
      </c>
      <c r="B5" s="18" t="inlineStr">
        <is>
          <t>Baja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con el Clásico.</t>
        </is>
      </c>
      <c r="C9" s="14" t="n"/>
      <c r="D9" s="18" t="inlineStr">
        <is>
          <t>Navegador:</t>
        </is>
      </c>
      <c r="E9" s="7" t="inlineStr">
        <is>
          <t>Chromium 141 de escritorio</t>
        </is>
      </c>
    </row>
    <row r="11">
      <c r="A11" s="13" t="inlineStr">
        <is>
          <t>Título del CP</t>
        </is>
      </c>
      <c r="B11" s="34" t="inlineStr">
        <is>
          <t>Sin indicador para el fantasma clásico</t>
        </is>
      </c>
      <c r="C11" s="14" t="n"/>
      <c r="D11" s="14" t="n"/>
      <c r="E11" s="14" t="n"/>
    </row>
    <row r="12">
      <c r="A12" s="33" t="n"/>
      <c r="B12" s="14" t="n"/>
      <c r="C12" s="14" t="n"/>
      <c r="D12" s="14" t="n"/>
      <c r="E12" s="14" t="n"/>
    </row>
    <row r="14">
      <c r="A14" s="13" t="inlineStr">
        <is>
          <t>Historias de Usuario</t>
        </is>
      </c>
      <c r="B14" s="7" t="inlineStr">
        <is>
          <t>HU-32</t>
        </is>
      </c>
      <c r="C14" s="13" t="inlineStr">
        <is>
          <t>Épica</t>
        </is>
      </c>
      <c r="D14" s="7" t="inlineStr">
        <is>
          <t>E7 — Poderes de los fantasmas</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Observar la barra inferior.</t>
        </is>
      </c>
      <c r="C18" s="14" t="n"/>
      <c r="D18" s="7" t="inlineStr">
        <is>
          <t>Solo se ven las vidas de Pacman.</t>
        </is>
      </c>
      <c r="E18" s="14" t="n"/>
    </row>
    <row r="19" ht="16.2" customHeight="1">
      <c r="A19" s="8" t="n">
        <v>2</v>
      </c>
      <c r="B19" s="7" t="inlineStr">
        <is>
          <t>Presionar espacio.</t>
        </is>
      </c>
      <c r="C19" s="14" t="n"/>
      <c r="D19" s="18" t="inlineStr">
        <is>
          <t>No se muestra estrella y no pasa nada.</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3.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CP-100</t>
        </is>
      </c>
      <c r="C1" s="13" t="inlineStr">
        <is>
          <t>Descripción / Funcionalidad</t>
        </is>
      </c>
      <c r="D1" s="18" t="inlineStr">
        <is>
          <t>HU-32 · Saber cuándo puedo usar mi poder</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5 pulsaciones de espacio en cooldown: no se colocó otra fruta y el cooldown siguió bajando (4.42 → 3.88 s).</t>
        </is>
      </c>
      <c r="L4" s="11" t="n"/>
    </row>
    <row r="5" ht="30" customHeight="1">
      <c r="A5" s="13" t="inlineStr">
        <is>
          <t>Prioridad (Alta, Media, Baja)</t>
        </is>
      </c>
      <c r="B5" s="18" t="inlineStr">
        <is>
          <t>Media</t>
        </is>
      </c>
      <c r="C5" s="13" t="inlineStr">
        <is>
          <t>Técnica de diseño</t>
        </is>
      </c>
      <c r="D5" s="7" t="inlineStr">
        <is>
          <t>Adivinación de errores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con el Naval, recién colocada una fruta.</t>
        </is>
      </c>
      <c r="C9" s="14" t="n"/>
      <c r="D9" s="18" t="inlineStr">
        <is>
          <t>Navegador:</t>
        </is>
      </c>
      <c r="E9" s="7" t="inlineStr">
        <is>
          <t>Chromium 141 de escritorio</t>
        </is>
      </c>
    </row>
    <row r="11">
      <c r="A11" s="13" t="inlineStr">
        <is>
          <t>Título del CP</t>
        </is>
      </c>
      <c r="B11" s="34" t="inlineStr">
        <is>
          <t>Espacio durante el cooldown sin efecto</t>
        </is>
      </c>
      <c r="C11" s="14" t="n"/>
      <c r="D11" s="14" t="n"/>
      <c r="E11" s="14" t="n"/>
    </row>
    <row r="12">
      <c r="A12" s="33" t="n"/>
      <c r="B12" s="14" t="n"/>
      <c r="C12" s="14" t="n"/>
      <c r="D12" s="14" t="n"/>
      <c r="E12" s="14" t="n"/>
    </row>
    <row r="14">
      <c r="A14" s="13" t="inlineStr">
        <is>
          <t>Historias de Usuario</t>
        </is>
      </c>
      <c r="B14" s="7" t="inlineStr">
        <is>
          <t>HU-32</t>
        </is>
      </c>
      <c r="C14" s="13" t="inlineStr">
        <is>
          <t>Épica</t>
        </is>
      </c>
      <c r="D14" s="7" t="inlineStr">
        <is>
          <t>E7 — Poderes de los fantasmas</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Presionar espacio 5 veces durante el cooldown.</t>
        </is>
      </c>
      <c r="C18" s="14" t="n"/>
      <c r="D18" s="7" t="inlineStr">
        <is>
          <t>No se coloca ninguna fruta.</t>
        </is>
      </c>
      <c r="E18" s="14" t="n"/>
    </row>
    <row r="19" ht="29.4" customHeight="1">
      <c r="A19" s="8" t="n">
        <v>2</v>
      </c>
      <c r="B19" s="7" t="inlineStr">
        <is>
          <t>Observar el estado.</t>
        </is>
      </c>
      <c r="C19" s="14" t="n"/>
      <c r="D19" s="18" t="inlineStr">
        <is>
          <t>El cooldown no se reinicia ni cambia el estado del juego.</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4.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CP-101</t>
        </is>
      </c>
      <c r="C1" s="13" t="inlineStr">
        <is>
          <t>Descripción / Funcionalidad</t>
        </is>
      </c>
      <c r="D1" s="18" t="inlineStr">
        <is>
          <t>HU-33 · Enfrentar a un Pacman que destruye paredes en el nivel 2</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55.8"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Nivel 2 sin interferencia: Pacman destruyó 2 paredes, como máximo 2 por esfera grande, ninguna del borde; las celdas rotas quedaron transitables.</t>
        </is>
      </c>
      <c r="L4" s="11" t="n"/>
    </row>
    <row r="5" ht="30" customHeight="1">
      <c r="A5" s="13" t="inlineStr">
        <is>
          <t>Prioridad (Alta, Media, Baja)</t>
        </is>
      </c>
      <c r="B5" s="18" t="inlineStr">
        <is>
          <t>Alta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16.2" customHeight="1">
      <c r="A9" s="8" t="n">
        <v>2</v>
      </c>
      <c r="B9" s="7" t="inlineStr">
        <is>
          <t>Partida en curso en modo GhostMan (GM), nivel 2.</t>
        </is>
      </c>
      <c r="C9" s="14" t="n"/>
      <c r="D9" s="18" t="inlineStr">
        <is>
          <t>Navegador:</t>
        </is>
      </c>
      <c r="E9" s="7" t="inlineStr">
        <is>
          <t>Chromium 141 de escritorio</t>
        </is>
      </c>
    </row>
    <row r="10" ht="29.4" customHeight="1">
      <c r="A10" s="8" t="n"/>
      <c r="B10" s="7" t="n"/>
      <c r="C10" s="14" t="n"/>
      <c r="D10" s="18" t="inlineStr">
        <is>
          <t>Cargas:</t>
        </is>
      </c>
      <c r="E10" s="7" t="inlineStr">
        <is>
          <t>5 por esfera grande (decisión 22)</t>
        </is>
      </c>
    </row>
    <row r="12">
      <c r="A12" s="13" t="inlineStr">
        <is>
          <t>Título del CP</t>
        </is>
      </c>
      <c r="B12" s="34" t="inlineStr">
        <is>
          <t>Pacman destruye hasta 5 paredes en el nivel 2</t>
        </is>
      </c>
      <c r="C12" s="14" t="n"/>
      <c r="D12" s="14" t="n"/>
      <c r="E12" s="14" t="n"/>
    </row>
    <row r="13">
      <c r="A13" s="33" t="n"/>
      <c r="B13" s="14" t="n"/>
      <c r="C13" s="14" t="n"/>
      <c r="D13" s="14" t="n"/>
      <c r="E13" s="14" t="n"/>
    </row>
    <row r="15">
      <c r="A15" s="13" t="inlineStr">
        <is>
          <t>Historias de Usuario</t>
        </is>
      </c>
      <c r="B15" s="7" t="inlineStr">
        <is>
          <t>HU-33</t>
        </is>
      </c>
      <c r="C15" s="13" t="inlineStr">
        <is>
          <t>Épica</t>
        </is>
      </c>
      <c r="D15" s="7" t="inlineStr">
        <is>
          <t>E8 — Dificultad del modo GhostMan</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c r="A18" s="13" t="inlineStr">
        <is>
          <t>Pasos #</t>
        </is>
      </c>
      <c r="B18" s="13" t="inlineStr">
        <is>
          <t>Detalle de pasos</t>
        </is>
      </c>
      <c r="C18" s="33" t="n"/>
      <c r="D18" s="13" t="inlineStr">
        <is>
          <t>Resultado esperado</t>
        </is>
      </c>
      <c r="E18" s="33" t="n"/>
    </row>
    <row r="19" ht="29.4" customHeight="1">
      <c r="A19" s="8" t="n">
        <v>1</v>
      </c>
      <c r="B19" s="7" t="inlineStr">
        <is>
          <t>Esperar a que Pacman consuma una esfera grande y observar el mapa durante el PowerUp.</t>
        </is>
      </c>
      <c r="C19" s="14" t="n"/>
      <c r="D19" s="7" t="inlineStr">
        <is>
          <t>Pacman rompe muros interiores al avanzar hacia ellos; cada celda rota queda transitable.</t>
        </is>
      </c>
      <c r="E19" s="14" t="n"/>
    </row>
    <row r="20" ht="16.2" customHeight="1">
      <c r="A20" s="8" t="n">
        <v>2</v>
      </c>
      <c r="B20" s="7" t="inlineStr">
        <is>
          <t>Contar las paredes destruidas en ese PowerUp.</t>
        </is>
      </c>
      <c r="C20" s="14" t="n"/>
      <c r="D20" s="18" t="inlineStr">
        <is>
          <t>Destruye como máximo 5, nunca un borde.</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5.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CP-102</t>
        </is>
      </c>
      <c r="C1" s="13" t="inlineStr">
        <is>
          <t>Descripción / Funcionalidad</t>
        </is>
      </c>
      <c r="D1" s="18" t="inlineStr">
        <is>
          <t>HU-33 · Enfrentar a un Pacman que destruye paredes en el nivel 2</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30"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Nivel 1 durante 30 s, con Pacman comiendo esferas grandes: no se destruyó ninguna pared.</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16.2" customHeight="1">
      <c r="A9" s="8" t="n">
        <v>2</v>
      </c>
      <c r="B9" s="7" t="inlineStr">
        <is>
          <t>Partida en curso en modo GhostMan (GM), nivel 1.</t>
        </is>
      </c>
      <c r="C9" s="14" t="n"/>
      <c r="D9" s="18" t="inlineStr">
        <is>
          <t>Navegador:</t>
        </is>
      </c>
      <c r="E9" s="7" t="inlineStr">
        <is>
          <t>Chromium 141 de escritorio</t>
        </is>
      </c>
    </row>
    <row r="11">
      <c r="A11" s="13" t="inlineStr">
        <is>
          <t>Título del CP</t>
        </is>
      </c>
      <c r="B11" s="34" t="inlineStr">
        <is>
          <t>El nivel 1 no habilita la destrucción de paredes</t>
        </is>
      </c>
      <c r="C11" s="14" t="n"/>
      <c r="D11" s="14" t="n"/>
      <c r="E11" s="14" t="n"/>
    </row>
    <row r="12">
      <c r="A12" s="33" t="n"/>
      <c r="B12" s="14" t="n"/>
      <c r="C12" s="14" t="n"/>
      <c r="D12" s="14" t="n"/>
      <c r="E12" s="14" t="n"/>
    </row>
    <row r="14">
      <c r="A14" s="13" t="inlineStr">
        <is>
          <t>Historias de Usuario</t>
        </is>
      </c>
      <c r="B14" s="7" t="inlineStr">
        <is>
          <t>HU-33</t>
        </is>
      </c>
      <c r="C14" s="13" t="inlineStr">
        <is>
          <t>Épica</t>
        </is>
      </c>
      <c r="D14" s="7" t="inlineStr">
        <is>
          <t>E8 — Dificultad del modo GhostMan</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Esperar a que Pacman consuma una esfera grande.</t>
        </is>
      </c>
      <c r="C18" s="14" t="n"/>
      <c r="D18" s="7" t="inlineStr">
        <is>
          <t>Se activa el PowerUp.</t>
        </is>
      </c>
      <c r="E18" s="14" t="n"/>
    </row>
    <row r="19" ht="16.2" customHeight="1">
      <c r="A19" s="8" t="n">
        <v>2</v>
      </c>
      <c r="B19" s="7" t="inlineStr">
        <is>
          <t>Observar el mapa hasta que termine.</t>
        </is>
      </c>
      <c r="C19" s="14" t="n"/>
      <c r="D19" s="18" t="inlineStr">
        <is>
          <t>Ninguna pared se destruye.</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6.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CP-103</t>
        </is>
      </c>
      <c r="C1" s="13" t="inlineStr">
        <is>
          <t>Descripción / Funcionalidad</t>
        </is>
      </c>
      <c r="D1" s="18" t="inlineStr">
        <is>
          <t>HU-33 · Enfrentar a un Pacman que destruye paredes en el nivel 2</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30"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Paredes rotas [[10, 5]]; tras la derrota de Pacman volvieron a existir.</t>
        </is>
      </c>
      <c r="L4" s="11" t="n"/>
    </row>
    <row r="5" ht="30" customHeight="1">
      <c r="A5" s="13" t="inlineStr">
        <is>
          <t>Prioridad (Alta, Media, Baja)</t>
        </is>
      </c>
      <c r="B5" s="18" t="inlineStr">
        <is>
          <t>Media</t>
        </is>
      </c>
      <c r="C5" s="13" t="inlineStr">
        <is>
          <t>Técnica de diseño</t>
        </is>
      </c>
      <c r="D5" s="7" t="inlineStr">
        <is>
          <t>Transición de estados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nivel 2, con al menos una pared destruida.</t>
        </is>
      </c>
      <c r="C9" s="14" t="n"/>
      <c r="D9" s="18" t="inlineStr">
        <is>
          <t>Navegador:</t>
        </is>
      </c>
      <c r="E9" s="7" t="inlineStr">
        <is>
          <t>Chromium 141 de escritorio</t>
        </is>
      </c>
    </row>
    <row r="11">
      <c r="A11" s="13" t="inlineStr">
        <is>
          <t>Título del CP</t>
        </is>
      </c>
      <c r="B11" s="34" t="inlineStr">
        <is>
          <t>Paredes restablecidas al reiniciarse el nivel</t>
        </is>
      </c>
      <c r="C11" s="14" t="n"/>
      <c r="D11" s="14" t="n"/>
      <c r="E11" s="14" t="n"/>
    </row>
    <row r="12">
      <c r="A12" s="33" t="n"/>
      <c r="B12" s="14" t="n"/>
      <c r="C12" s="14" t="n"/>
      <c r="D12" s="14" t="n"/>
      <c r="E12" s="14" t="n"/>
    </row>
    <row r="14">
      <c r="A14" s="13" t="inlineStr">
        <is>
          <t>Historias de Usuario</t>
        </is>
      </c>
      <c r="B14" s="7" t="inlineStr">
        <is>
          <t>HU-33</t>
        </is>
      </c>
      <c r="C14" s="13" t="inlineStr">
        <is>
          <t>Épica</t>
        </is>
      </c>
      <c r="D14" s="7" t="inlineStr">
        <is>
          <t>E8 — Dificultad del modo GhostMan</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Derrotar a Pacman.</t>
        </is>
      </c>
      <c r="C18" s="14" t="n"/>
      <c r="D18" s="7" t="inlineStr">
        <is>
          <t>El nivel se reinicia.</t>
        </is>
      </c>
      <c r="E18" s="14" t="n"/>
    </row>
    <row r="19" ht="16.2" customHeight="1">
      <c r="A19" s="8" t="n">
        <v>2</v>
      </c>
      <c r="B19" s="7" t="inlineStr">
        <is>
          <t>Observar las paredes destruidas.</t>
        </is>
      </c>
      <c r="C19" s="14" t="n"/>
      <c r="D19" s="18" t="inlineStr">
        <is>
          <t>Vuelven a existir.</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7.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CP-104</t>
        </is>
      </c>
      <c r="C1" s="13" t="inlineStr">
        <is>
          <t>Descripción / Funcionalidad</t>
        </is>
      </c>
      <c r="D1" s="18" t="inlineStr">
        <is>
          <t>HU-34 · Enfrentar más PowerUps en el nivel 3</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30"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Esferas grandes al iniciar: nivel 1 = 4, nivel 2 = 4, nivel 3 = 6 (esquinas, (7,1) y (7,15)).</t>
        </is>
      </c>
      <c r="L4" s="11" t="n"/>
    </row>
    <row r="5" ht="30" customHeight="1">
      <c r="A5" s="13" t="inlineStr">
        <is>
          <t>Prioridad (Alta, Media, Baja)</t>
        </is>
      </c>
      <c r="B5" s="18" t="inlineStr">
        <is>
          <t>Media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16.2" customHeight="1">
      <c r="A9" s="8" t="n">
        <v>2</v>
      </c>
      <c r="B9" s="7" t="inlineStr">
        <is>
          <t>Partida en curso en modo GhostMan (GM), nivel 3.</t>
        </is>
      </c>
      <c r="C9" s="14" t="n"/>
      <c r="D9" s="18" t="inlineStr">
        <is>
          <t>Navegador:</t>
        </is>
      </c>
      <c r="E9" s="7" t="inlineStr">
        <is>
          <t>Chromium 141 de escritorio</t>
        </is>
      </c>
    </row>
    <row r="11">
      <c r="A11" s="13" t="inlineStr">
        <is>
          <t>Título del CP</t>
        </is>
      </c>
      <c r="B11" s="34" t="inlineStr">
        <is>
          <t>Más esferas grandes en el nivel 3</t>
        </is>
      </c>
      <c r="C11" s="14" t="n"/>
      <c r="D11" s="14" t="n"/>
      <c r="E11" s="14" t="n"/>
    </row>
    <row r="12">
      <c r="A12" s="33" t="n"/>
      <c r="B12" s="14" t="n"/>
      <c r="C12" s="14" t="n"/>
      <c r="D12" s="14" t="n"/>
      <c r="E12" s="14" t="n"/>
    </row>
    <row r="14">
      <c r="A14" s="13" t="inlineStr">
        <is>
          <t>Historias de Usuario</t>
        </is>
      </c>
      <c r="B14" s="7" t="inlineStr">
        <is>
          <t>HU-34</t>
        </is>
      </c>
      <c r="C14" s="13" t="inlineStr">
        <is>
          <t>Épica</t>
        </is>
      </c>
      <c r="D14" s="7" t="inlineStr">
        <is>
          <t>E8 — Dificultad del modo GhostMan</t>
        </is>
      </c>
      <c r="E14" s="14" t="n"/>
    </row>
    <row r="15" ht="28" customHeight="1">
      <c r="A15" s="13" t="inlineStr">
        <is>
          <t>Estado Automatización</t>
        </is>
      </c>
      <c r="B15" s="7" t="inlineStr">
        <is>
          <t>Automatizado (script de navegador, Entrega 2)</t>
        </is>
      </c>
      <c r="C15" s="13" t="inlineStr">
        <is>
          <t>Camino feliz</t>
        </is>
      </c>
      <c r="D15" s="7" t="inlineStr">
        <is>
          <t>Sí</t>
        </is>
      </c>
      <c r="E15" s="14" t="n"/>
    </row>
    <row r="17">
      <c r="A17" s="13" t="inlineStr">
        <is>
          <t>Pasos #</t>
        </is>
      </c>
      <c r="B17" s="13" t="inlineStr">
        <is>
          <t>Detalle de pasos</t>
        </is>
      </c>
      <c r="C17" s="33" t="n"/>
      <c r="D17" s="13" t="inlineStr">
        <is>
          <t>Resultado esperado</t>
        </is>
      </c>
      <c r="E17" s="33" t="n"/>
    </row>
    <row r="18" ht="16.2" customHeight="1">
      <c r="A18" s="8" t="n">
        <v>1</v>
      </c>
      <c r="B18" s="7" t="inlineStr">
        <is>
          <t>Contar las esferas grandes al empezar el nivel 3.</t>
        </is>
      </c>
      <c r="C18" s="14" t="n"/>
      <c r="D18" s="7" t="inlineStr">
        <is>
          <t>Hay 6: las 4 esquinas, (7,1) y (7,15).</t>
        </is>
      </c>
      <c r="E18" s="14" t="n"/>
    </row>
    <row r="19" ht="16.2" customHeight="1">
      <c r="A19" s="8" t="n">
        <v>2</v>
      </c>
      <c r="B19" s="7" t="inlineStr">
        <is>
          <t>Compararlas con los niveles 1 y 2.</t>
        </is>
      </c>
      <c r="C19" s="14" t="n"/>
      <c r="D19" s="18" t="inlineStr">
        <is>
          <t>El nivel 3 tiene más esferas grandes (6 contra 4).</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8.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CP-105</t>
        </is>
      </c>
      <c r="C1" s="13" t="inlineStr">
        <is>
          <t>Descripción / Funcionalidad</t>
        </is>
      </c>
      <c r="D1" s="18" t="inlineStr">
        <is>
          <t>HU-34 · Enfrentar más PowerUps en el nivel 3</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55.8"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A los 15 s apareció una esfera grande dinámica en [[3, 1]] (celda transitable). Con solo esa esfera pendiente el nivel no terminó: cuenta para completarlo. (Resto del mapa vaciado por script.)</t>
        </is>
      </c>
      <c r="L4" s="11" t="n"/>
    </row>
    <row r="5" ht="30" customHeight="1">
      <c r="A5" s="13" t="inlineStr">
        <is>
          <t>Prioridad (Alta, Media, Baja)</t>
        </is>
      </c>
      <c r="B5" s="18" t="inlineStr">
        <is>
          <t>Media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16.2" customHeight="1">
      <c r="A9" s="8" t="n">
        <v>2</v>
      </c>
      <c r="B9" s="7" t="inlineStr">
        <is>
          <t>Partida en curso en modo GhostMan (GM), nivel 3.</t>
        </is>
      </c>
      <c r="C9" s="14" t="n"/>
      <c r="D9" s="18" t="inlineStr">
        <is>
          <t>Navegador:</t>
        </is>
      </c>
      <c r="E9" s="7" t="inlineStr">
        <is>
          <t>Chromium 141 de escritorio</t>
        </is>
      </c>
    </row>
    <row r="10" ht="16.2" customHeight="1">
      <c r="A10" s="8" t="n"/>
      <c r="B10" s="7" t="n"/>
      <c r="C10" s="14" t="n"/>
      <c r="D10" s="18" t="inlineStr">
        <is>
          <t>Intervalo:</t>
        </is>
      </c>
      <c r="E10" s="7" t="inlineStr">
        <is>
          <t>15 s, máximo 2 dinámicas</t>
        </is>
      </c>
    </row>
    <row r="12">
      <c r="A12" s="13" t="inlineStr">
        <is>
          <t>Título del CP</t>
        </is>
      </c>
      <c r="B12" s="34" t="inlineStr">
        <is>
          <t>Aparición dinámica de esferas grandes</t>
        </is>
      </c>
      <c r="C12" s="14" t="n"/>
      <c r="D12" s="14" t="n"/>
      <c r="E12" s="14" t="n"/>
    </row>
    <row r="13">
      <c r="A13" s="33" t="n"/>
      <c r="B13" s="14" t="n"/>
      <c r="C13" s="14" t="n"/>
      <c r="D13" s="14" t="n"/>
      <c r="E13" s="14" t="n"/>
    </row>
    <row r="15">
      <c r="A15" s="13" t="inlineStr">
        <is>
          <t>Historias de Usuario</t>
        </is>
      </c>
      <c r="B15" s="7" t="inlineStr">
        <is>
          <t>HU-34</t>
        </is>
      </c>
      <c r="C15" s="13" t="inlineStr">
        <is>
          <t>Épica</t>
        </is>
      </c>
      <c r="D15" s="7" t="inlineStr">
        <is>
          <t>E8 — Dificultad del modo GhostMan</t>
        </is>
      </c>
      <c r="E15" s="14" t="n"/>
    </row>
    <row r="16" ht="28" customHeight="1">
      <c r="A16" s="13" t="inlineStr">
        <is>
          <t>Estado Automatización</t>
        </is>
      </c>
      <c r="B16" s="7" t="inlineStr">
        <is>
          <t>Automatizado (script de navegador, Entrega 2)</t>
        </is>
      </c>
      <c r="C16" s="13" t="inlineStr">
        <is>
          <t>Camino feliz</t>
        </is>
      </c>
      <c r="D16" s="7" t="inlineStr">
        <is>
          <t>Sí</t>
        </is>
      </c>
      <c r="E16" s="14" t="n"/>
    </row>
    <row r="18">
      <c r="A18" s="13" t="inlineStr">
        <is>
          <t>Pasos #</t>
        </is>
      </c>
      <c r="B18" s="13" t="inlineStr">
        <is>
          <t>Detalle de pasos</t>
        </is>
      </c>
      <c r="C18" s="33" t="n"/>
      <c r="D18" s="13" t="inlineStr">
        <is>
          <t>Resultado esperado</t>
        </is>
      </c>
      <c r="E18" s="33" t="n"/>
    </row>
    <row r="19" ht="29.4" customHeight="1">
      <c r="A19" s="8" t="n">
        <v>1</v>
      </c>
      <c r="B19" s="7" t="inlineStr">
        <is>
          <t>Observar el mapa a los 15 s y a los 30 s.</t>
        </is>
      </c>
      <c r="C19" s="14" t="n"/>
      <c r="D19" s="7" t="inlineStr">
        <is>
          <t>Aparece una esfera grande nueva en cada momento, en celdas transitables, y el contador de esferas sube.</t>
        </is>
      </c>
      <c r="E19" s="14" t="n"/>
    </row>
    <row r="20" ht="29.4" customHeight="1">
      <c r="A20" s="8" t="n">
        <v>2</v>
      </c>
      <c r="B20" s="7" t="inlineStr">
        <is>
          <t>Dejar que Pacman consuma todas salvo una dinámica.</t>
        </is>
      </c>
      <c r="C20" s="14" t="n"/>
      <c r="D20" s="18" t="inlineStr">
        <is>
          <t>El nivel no termina: las dinámicas cuentan para completarlo.</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79.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CP-141</t>
        </is>
      </c>
      <c r="C1" s="13" t="inlineStr">
        <is>
          <t>Descripción / Funcionalidad</t>
        </is>
      </c>
      <c r="D1" s="18" t="inlineStr">
        <is>
          <t>HU-22 · Elegir el modo de juego</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Durante 5 s con ↑ ↓ W S Enter no aparece el menú ni el carrusel; tras pausar y reanudar la partida sigue en modo GhostMan con el Clásico.</t>
        </is>
      </c>
      <c r="L4" s="11" t="n"/>
    </row>
    <row r="5" ht="30" customHeight="1">
      <c r="A5" s="13" t="inlineStr">
        <is>
          <t>Prioridad (Alta, Media, Baja)</t>
        </is>
      </c>
      <c r="B5" s="18" t="inlineStr">
        <is>
          <t>Media</t>
        </is>
      </c>
      <c r="C5" s="13" t="inlineStr">
        <is>
          <t>Técnica de diseño</t>
        </is>
      </c>
      <c r="D5" s="7" t="inlineStr">
        <is>
          <t>Adivinación de errores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16.2" customHeight="1">
      <c r="A9" s="8" t="n">
        <v>2</v>
      </c>
      <c r="B9" s="7" t="inlineStr">
        <is>
          <t>Partida en curso en modo GhostMan (GM), nivel 1.</t>
        </is>
      </c>
      <c r="C9" s="14" t="n"/>
      <c r="D9" s="18" t="inlineStr">
        <is>
          <t>Navegador:</t>
        </is>
      </c>
      <c r="E9" s="7" t="inlineStr">
        <is>
          <t>Chromium 141 de escritorio</t>
        </is>
      </c>
    </row>
    <row r="10" ht="16.2" customHeight="1">
      <c r="A10" s="8" t="n"/>
      <c r="B10" s="7" t="n"/>
      <c r="C10" s="14" t="n"/>
      <c r="D10" s="18" t="inlineStr">
        <is>
          <t>Fantasma:</t>
        </is>
      </c>
      <c r="E10" s="7" t="inlineStr">
        <is>
          <t>Clásico</t>
        </is>
      </c>
    </row>
    <row r="12">
      <c r="A12" s="13" t="inlineStr">
        <is>
          <t>Título del CP</t>
        </is>
      </c>
      <c r="B12" s="34" t="inlineStr">
        <is>
          <t>El modo no cambia durante la partida</t>
        </is>
      </c>
      <c r="C12" s="14" t="n"/>
      <c r="D12" s="14" t="n"/>
      <c r="E12" s="14" t="n"/>
    </row>
    <row r="13">
      <c r="A13" s="33" t="n"/>
      <c r="B13" s="14" t="n"/>
      <c r="C13" s="14" t="n"/>
      <c r="D13" s="14" t="n"/>
      <c r="E13" s="14" t="n"/>
    </row>
    <row r="15">
      <c r="A15" s="13" t="inlineStr">
        <is>
          <t>Historias de Usuario</t>
        </is>
      </c>
      <c r="B15" s="7" t="inlineStr">
        <is>
          <t>HU-22</t>
        </is>
      </c>
      <c r="C15" s="13" t="inlineStr">
        <is>
          <t>Épica</t>
        </is>
      </c>
      <c r="D15" s="7" t="inlineStr">
        <is>
          <t>E6 — Modo GhostMan</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29.4" customHeight="1">
      <c r="A19" s="8" t="n">
        <v>1</v>
      </c>
      <c r="B19" s="7" t="inlineStr">
        <is>
          <t>Presionar ↑, ↓, W, S y Enter varias veces durante 5 s.</t>
        </is>
      </c>
      <c r="C19" s="14" t="n"/>
      <c r="D19" s="7" t="inlineStr">
        <is>
          <t>El fantasma del jugador se mueve; no aparece el menú ni el carrusel.</t>
        </is>
      </c>
      <c r="E19" s="14" t="n"/>
    </row>
    <row r="20" ht="29.4" customHeight="1">
      <c r="A20" s="8" t="n">
        <v>2</v>
      </c>
      <c r="B20" s="7" t="inlineStr">
        <is>
          <t>Presionar ESC dos veces (pausa y reanuda).</t>
        </is>
      </c>
      <c r="C20" s="14" t="n"/>
      <c r="D20" s="18" t="inlineStr">
        <is>
          <t>La partida sigue en modo GhostMan, con la barra «Vidas de Pacman» y el mismo fantasma.</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0.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CP-142</t>
        </is>
      </c>
      <c r="C1" s="13" t="inlineStr">
        <is>
          <t>Descripción / Funcionalidad</t>
        </is>
      </c>
      <c r="D1" s="18" t="inlineStr">
        <is>
          <t>HU-24 · Controlar al fantasma por el mapa</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55.8"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Velocidad medida: Clásico 5.00 celdas/s, Naval 4.00 celdas/s (−20 %). Precondición preparada por script (posiciones y fantasmas de la IA retirados) para aislar la condición.</t>
        </is>
      </c>
      <c r="L4" s="11" t="n"/>
    </row>
    <row r="5" ht="30" customHeight="1">
      <c r="A5" s="13" t="inlineStr">
        <is>
          <t>Prioridad (Alta, Media, Baja)</t>
        </is>
      </c>
      <c r="B5" s="18" t="inlineStr">
        <is>
          <t>Media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Dos partidas en modo GhostMan: una con el Clásico y otra con el Naval.</t>
        </is>
      </c>
      <c r="C9" s="14" t="n"/>
      <c r="D9" s="18" t="inlineStr">
        <is>
          <t>Navegador:</t>
        </is>
      </c>
      <c r="E9" s="7" t="inlineStr">
        <is>
          <t>Chromium 141 de escritorio</t>
        </is>
      </c>
    </row>
    <row r="10" ht="29.4" customHeight="1">
      <c r="A10" s="8" t="n"/>
      <c r="B10" s="7" t="n"/>
      <c r="C10" s="14" t="n"/>
      <c r="D10" s="18" t="inlineStr">
        <is>
          <t>Velocidades:</t>
        </is>
      </c>
      <c r="E10" s="7" t="inlineStr">
        <is>
          <t>Clásico 5 celdas/s; Naval 4 celdas/s</t>
        </is>
      </c>
    </row>
    <row r="12">
      <c r="A12" s="13" t="inlineStr">
        <is>
          <t>Título del CP</t>
        </is>
      </c>
      <c r="B12" s="34" t="inlineStr">
        <is>
          <t>Velocidad base del fantasma según su tipo</t>
        </is>
      </c>
      <c r="C12" s="14" t="n"/>
      <c r="D12" s="14" t="n"/>
      <c r="E12" s="14" t="n"/>
    </row>
    <row r="13">
      <c r="A13" s="33" t="n"/>
      <c r="B13" s="14" t="n"/>
      <c r="C13" s="14" t="n"/>
      <c r="D13" s="14" t="n"/>
      <c r="E13" s="14" t="n"/>
    </row>
    <row r="15">
      <c r="A15" s="13" t="inlineStr">
        <is>
          <t>Historias de Usuario</t>
        </is>
      </c>
      <c r="B15" s="7" t="inlineStr">
        <is>
          <t>HU-24</t>
        </is>
      </c>
      <c r="C15" s="13" t="inlineStr">
        <is>
          <t>Épica</t>
        </is>
      </c>
      <c r="D15" s="7" t="inlineStr">
        <is>
          <t>E6 — Modo GhostMan</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29.4" customHeight="1">
      <c r="A19" s="8" t="n">
        <v>1</v>
      </c>
      <c r="B19" s="7" t="inlineStr">
        <is>
          <t>Con el Clásico, recorrer la fila 1 cronometrando 10 celdas.</t>
        </is>
      </c>
      <c r="C19" s="14" t="n"/>
      <c r="D19" s="7" t="inlineStr">
        <is>
          <t>Tarda unos 2,0 s (5 celdas/s).</t>
        </is>
      </c>
      <c r="E19" s="14" t="n"/>
    </row>
    <row r="20" ht="29.4" customHeight="1">
      <c r="A20" s="8" t="n">
        <v>2</v>
      </c>
      <c r="B20" s="7" t="inlineStr">
        <is>
          <t>Con el Naval, recorrer el mismo tramo.</t>
        </is>
      </c>
      <c r="C20" s="14" t="n"/>
      <c r="D20" s="18" t="inlineStr">
        <is>
          <t>Tarda unos 2,5 s: el Naval es un 20 % más lento, según la sección 4.5.</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1.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CP-143</t>
        </is>
      </c>
      <c r="C1" s="13" t="inlineStr">
        <is>
          <t>Descripción / Funcionalidad</t>
        </is>
      </c>
      <c r="D1" s="18" t="inlineStr">
        <is>
          <t>HU-25 · Derrotar a Pacman para completar el nivel</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Tercera derrota en el nivel 3: pantalla de Victoria con el desglose (Derrotas de Pacman, Esferas sin consumir, Total).</t>
        </is>
      </c>
      <c r="L4" s="11" t="n"/>
    </row>
    <row r="5" ht="30" customHeight="1">
      <c r="A5" s="13" t="inlineStr">
        <is>
          <t>Prioridad (Alta, Media, Baja)</t>
        </is>
      </c>
      <c r="B5" s="18" t="inlineStr">
        <is>
          <t>Alta</t>
        </is>
      </c>
      <c r="C5" s="13" t="inlineStr">
        <is>
          <t>Técnica de diseño</t>
        </is>
      </c>
      <c r="D5" s="7" t="inlineStr">
        <is>
          <t>Transición de estados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nivel 3, Pacman con 1 vida.</t>
        </is>
      </c>
      <c r="C9" s="14" t="n"/>
      <c r="D9" s="18" t="inlineStr">
        <is>
          <t>Navegador:</t>
        </is>
      </c>
      <c r="E9" s="7" t="inlineStr">
        <is>
          <t>Chromium 141 de escritorio</t>
        </is>
      </c>
    </row>
    <row r="11">
      <c r="A11" s="13" t="inlineStr">
        <is>
          <t>Título del CP</t>
        </is>
      </c>
      <c r="B11" s="34" t="inlineStr">
        <is>
          <t>Victoria al completar el nivel 3</t>
        </is>
      </c>
      <c r="C11" s="14" t="n"/>
      <c r="D11" s="14" t="n"/>
      <c r="E11" s="14" t="n"/>
    </row>
    <row r="12">
      <c r="A12" s="33" t="n"/>
      <c r="B12" s="14" t="n"/>
      <c r="C12" s="14" t="n"/>
      <c r="D12" s="14" t="n"/>
      <c r="E12" s="14" t="n"/>
    </row>
    <row r="14">
      <c r="A14" s="13" t="inlineStr">
        <is>
          <t>Historias de Usuario</t>
        </is>
      </c>
      <c r="B14" s="7" t="inlineStr">
        <is>
          <t>HU-25</t>
        </is>
      </c>
      <c r="C14" s="13" t="inlineStr">
        <is>
          <t>Épica</t>
        </is>
      </c>
      <c r="D14" s="7" t="inlineStr">
        <is>
          <t>E6 — Modo GhostMan</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Derrotar a Pacman por tercera vez en el nivel 3.</t>
        </is>
      </c>
      <c r="C18" s="14" t="n"/>
      <c r="D18" s="7" t="inlineStr">
        <is>
          <t>El nivel 3 se completa.</t>
        </is>
      </c>
      <c r="E18" s="14" t="n"/>
    </row>
    <row r="19" ht="29.4" customHeight="1">
      <c r="A19" s="8" t="n">
        <v>2</v>
      </c>
      <c r="B19" s="7" t="inlineStr">
        <is>
          <t>Esperar 3 s.</t>
        </is>
      </c>
      <c r="C19" s="14" t="n"/>
      <c r="D19" s="18" t="inlineStr">
        <is>
          <t>Se muestra la pantalla de Victoria con el desglose del modo GhostMan.</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2.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CP-144</t>
        </is>
      </c>
      <c r="C1" s="13" t="inlineStr">
        <is>
          <t>Descripción / Funcionalidad</t>
        </is>
      </c>
      <c r="D1" s="18" t="inlineStr">
        <is>
          <t>HU-25 · Derrotar a Pacman para completar el nivel</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55.8"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Pacman estaba en (7, 1); tras el toque del fantasma de la IA volvió a su posición inicial (7,8) sin perder vidas (3 → 3); puntaje y fantasma del jugador sin cambios.</t>
        </is>
      </c>
      <c r="L4" s="11" t="n"/>
    </row>
    <row r="5" ht="30" customHeight="1">
      <c r="A5" s="13" t="inlineStr">
        <is>
          <t>Prioridad (Alta, Media, Baja)</t>
        </is>
      </c>
      <c r="B5" s="18" t="inlineStr">
        <is>
          <t>Alta</t>
        </is>
      </c>
      <c r="C5" s="13" t="inlineStr">
        <is>
          <t>Técnica de diseño</t>
        </is>
      </c>
      <c r="D5" s="7" t="inlineStr">
        <is>
          <t>Tabla de decisión</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nivel 1, Pacman sin PowerUp y lejos de su posición inicial.</t>
        </is>
      </c>
      <c r="C9" s="14" t="n"/>
      <c r="D9" s="18" t="inlineStr">
        <is>
          <t>Navegador:</t>
        </is>
      </c>
      <c r="E9" s="7" t="inlineStr">
        <is>
          <t>Chromium 141 de escritorio</t>
        </is>
      </c>
    </row>
    <row r="11">
      <c r="A11" s="13" t="inlineStr">
        <is>
          <t>Título del CP</t>
        </is>
      </c>
      <c r="B11" s="34" t="inlineStr">
        <is>
          <t>Toque de un fantasma de la IA (decisión 19)</t>
        </is>
      </c>
      <c r="C11" s="14" t="n"/>
      <c r="D11" s="14" t="n"/>
      <c r="E11" s="14" t="n"/>
    </row>
    <row r="12">
      <c r="A12" s="33" t="n"/>
      <c r="B12" s="14" t="n"/>
      <c r="C12" s="14" t="n"/>
      <c r="D12" s="14" t="n"/>
      <c r="E12" s="14" t="n"/>
    </row>
    <row r="14">
      <c r="A14" s="13" t="inlineStr">
        <is>
          <t>Historias de Usuario</t>
        </is>
      </c>
      <c r="B14" s="7" t="inlineStr">
        <is>
          <t>HU-25</t>
        </is>
      </c>
      <c r="C14" s="13" t="inlineStr">
        <is>
          <t>Épica</t>
        </is>
      </c>
      <c r="D14" s="7" t="inlineStr">
        <is>
          <t>E6 — Modo GhostMan</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29.4" customHeight="1">
      <c r="A18" s="8" t="n">
        <v>1</v>
      </c>
      <c r="B18" s="7" t="inlineStr">
        <is>
          <t>Anotar vidas de Pacman, puntaje y posición del fantasma del jugador.</t>
        </is>
      </c>
      <c r="C18" s="14" t="n"/>
      <c r="D18" s="7" t="inlineStr">
        <is>
          <t>Valores anotados.</t>
        </is>
      </c>
      <c r="E18" s="14" t="n"/>
    </row>
    <row r="19" ht="42.59999999999999" customHeight="1">
      <c r="A19" s="8" t="n">
        <v>2</v>
      </c>
      <c r="B19" s="7" t="inlineStr">
        <is>
          <t>Esperar a que un fantasma de la IA toque a Pacman.</t>
        </is>
      </c>
      <c r="C19" s="14" t="n"/>
      <c r="D19" s="18" t="inlineStr">
        <is>
          <t>Pacman vuelve a su posición inicial sin perder una vida; el puntaje, las esferas y la posición del fantasma del jugador no cambian.</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3.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CP-145</t>
        </is>
      </c>
      <c r="C1" s="13" t="inlineStr">
        <is>
          <t>Descripción / Funcionalidad</t>
        </is>
      </c>
      <c r="D1" s="18" t="inlineStr">
        <is>
          <t>HU-26 · Perder si Pacman completa el nivel</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6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Nivel 1 con 3 derrotas: puntaje 2530 al completar (1500 por derrotas + esferas sin consumir). Desglose final: {'Derrotas de Pacman': '1500', 'Esferas sin consumir': '1030', 'Total': '2530'}; la suma coincide con el total.</t>
        </is>
      </c>
      <c r="L4" s="11" t="n"/>
    </row>
    <row r="5" ht="30" customHeight="1">
      <c r="A5" s="13" t="inlineStr">
        <is>
          <t>Prioridad (Alta, Media, Baja)</t>
        </is>
      </c>
      <c r="B5" s="18" t="inlineStr">
        <is>
          <t>Media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16.2" customHeight="1">
      <c r="A9" s="8" t="n">
        <v>2</v>
      </c>
      <c r="B9" s="7" t="inlineStr">
        <is>
          <t>Partida en curso en modo GhostMan (GM).</t>
        </is>
      </c>
      <c r="C9" s="14" t="n"/>
      <c r="D9" s="18" t="inlineStr">
        <is>
          <t>Navegador:</t>
        </is>
      </c>
      <c r="E9" s="7" t="inlineStr">
        <is>
          <t>Chromium 141 de escritorio</t>
        </is>
      </c>
    </row>
    <row r="10" ht="42.59999999999999" customHeight="1">
      <c r="A10" s="8" t="n"/>
      <c r="B10" s="7" t="n"/>
      <c r="C10" s="14" t="n"/>
      <c r="D10" s="18" t="inlineStr">
        <is>
          <t>Puntos:</t>
        </is>
      </c>
      <c r="E10" s="7" t="inlineStr">
        <is>
          <t>500 por derrota de Pacman; 10 por esfera sin consumir al completar el nivel</t>
        </is>
      </c>
    </row>
    <row r="12">
      <c r="A12" s="13" t="inlineStr">
        <is>
          <t>Título del CP</t>
        </is>
      </c>
      <c r="B12" s="34" t="inlineStr">
        <is>
          <t>Desglose del puntaje del modo GhostMan (decisión 20)</t>
        </is>
      </c>
      <c r="C12" s="14" t="n"/>
      <c r="D12" s="14" t="n"/>
      <c r="E12" s="14" t="n"/>
    </row>
    <row r="13">
      <c r="A13" s="33" t="n"/>
      <c r="B13" s="14" t="n"/>
      <c r="C13" s="14" t="n"/>
      <c r="D13" s="14" t="n"/>
      <c r="E13" s="14" t="n"/>
    </row>
    <row r="15">
      <c r="A15" s="13" t="inlineStr">
        <is>
          <t>Historias de Usuario</t>
        </is>
      </c>
      <c r="B15" s="7" t="inlineStr">
        <is>
          <t>HU-26</t>
        </is>
      </c>
      <c r="C15" s="13" t="inlineStr">
        <is>
          <t>Épica</t>
        </is>
      </c>
      <c r="D15" s="7" t="inlineStr">
        <is>
          <t>E6 — Modo GhostMan</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29.4" customHeight="1">
      <c r="A19" s="8" t="n">
        <v>1</v>
      </c>
      <c r="B19" s="7" t="inlineStr">
        <is>
          <t>Completar el nivel 1 con 3 derrotas, anotando las esferas restantes.</t>
        </is>
      </c>
      <c r="C19" s="14" t="n"/>
      <c r="D19" s="7" t="inlineStr">
        <is>
          <t>El puntaje es 1500 + 10 × esferas restantes.</t>
        </is>
      </c>
      <c r="E19" s="14" t="n"/>
    </row>
    <row r="20" ht="42.59999999999999" customHeight="1">
      <c r="A20" s="8" t="n">
        <v>2</v>
      </c>
      <c r="B20" s="7" t="inlineStr">
        <is>
          <t>Terminar la partida y observar el desglose.</t>
        </is>
      </c>
      <c r="C20" s="14" t="n"/>
      <c r="D20" s="18" t="inlineStr">
        <is>
          <t>El desglose tiene dos categorías, «Derrotas de Pacman» y «Esferas sin consumir», y su suma coincide con el total.</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4.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CP-146</t>
        </is>
      </c>
      <c r="C1" s="13" t="inlineStr">
        <is>
          <t>Descripción / Funcionalidad</t>
        </is>
      </c>
      <c r="D1" s="18" t="inlineStr">
        <is>
          <t>HU-27 · Ser comido por Pacman con el PowerUp activo</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55.8"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Comido el Acelerado, la barra espaciadora durante la espera no hizo nada (cooldown 0, sigue en (1,1)); al reaparecer la estrella sigue disponible.</t>
        </is>
      </c>
      <c r="L4" s="11" t="n"/>
    </row>
    <row r="5" ht="30" customHeight="1">
      <c r="A5" s="13" t="inlineStr">
        <is>
          <t>Prioridad (Alta, Media, Baja)</t>
        </is>
      </c>
      <c r="B5" s="18" t="inlineStr">
        <is>
          <t>Media</t>
        </is>
      </c>
      <c r="C5" s="13" t="inlineStr">
        <is>
          <t>Técnica de diseño</t>
        </is>
      </c>
      <c r="D5" s="7" t="inlineStr">
        <is>
          <t>Adivinación de errores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42.59999999999999" customHeight="1">
      <c r="A9" s="8" t="n">
        <v>2</v>
      </c>
      <c r="B9" s="7" t="inlineStr">
        <is>
          <t>Partida en curso en modo GhostMan (GM) con el Acelerado, comido por Pacman (esperando reaparecer), poder disponible.</t>
        </is>
      </c>
      <c r="C9" s="14" t="n"/>
      <c r="D9" s="18" t="inlineStr">
        <is>
          <t>Navegador:</t>
        </is>
      </c>
      <c r="E9" s="7" t="inlineStr">
        <is>
          <t>Chromium 141 de escritorio</t>
        </is>
      </c>
    </row>
    <row r="10" ht="16.2" customHeight="1">
      <c r="A10" s="8" t="n"/>
      <c r="B10" s="7" t="n"/>
      <c r="C10" s="14" t="n"/>
      <c r="D10" s="18" t="inlineStr">
        <is>
          <t>Fantasma:</t>
        </is>
      </c>
      <c r="E10" s="7" t="inlineStr">
        <is>
          <t>Acelerado</t>
        </is>
      </c>
    </row>
    <row r="12">
      <c r="A12" s="13" t="inlineStr">
        <is>
          <t>Título del CP</t>
        </is>
      </c>
      <c r="B12" s="34" t="inlineStr">
        <is>
          <t>El poder no se activa mientras se espera reaparecer</t>
        </is>
      </c>
      <c r="C12" s="14" t="n"/>
      <c r="D12" s="14" t="n"/>
      <c r="E12" s="14" t="n"/>
    </row>
    <row r="13">
      <c r="A13" s="33" t="n"/>
      <c r="B13" s="14" t="n"/>
      <c r="C13" s="14" t="n"/>
      <c r="D13" s="14" t="n"/>
      <c r="E13" s="14" t="n"/>
    </row>
    <row r="15">
      <c r="A15" s="13" t="inlineStr">
        <is>
          <t>Historias de Usuario</t>
        </is>
      </c>
      <c r="B15" s="7" t="inlineStr">
        <is>
          <t>HU-27</t>
        </is>
      </c>
      <c r="C15" s="13" t="inlineStr">
        <is>
          <t>Épica</t>
        </is>
      </c>
      <c r="D15" s="7" t="inlineStr">
        <is>
          <t>E6 — Modo GhostMan</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16.2" customHeight="1">
      <c r="A19" s="8" t="n">
        <v>1</v>
      </c>
      <c r="B19" s="7" t="inlineStr">
        <is>
          <t>Presionar la barra espaciadora durante la espera.</t>
        </is>
      </c>
      <c r="C19" s="14" t="n"/>
      <c r="D19" s="7" t="inlineStr">
        <is>
          <t>No hay desplazamiento ni cambio de estado.</t>
        </is>
      </c>
      <c r="E19" s="14" t="n"/>
    </row>
    <row r="20" ht="29.4" customHeight="1">
      <c r="A20" s="8" t="n">
        <v>2</v>
      </c>
      <c r="B20" s="7" t="inlineStr">
        <is>
          <t>Observar la estrella al reaparecer.</t>
        </is>
      </c>
      <c r="C20" s="14" t="n"/>
      <c r="D20" s="18" t="inlineStr">
        <is>
          <t>La estrella sigue disponible: el poder no se activó ni se consumió.</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5.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CP-147</t>
        </is>
      </c>
      <c r="C1" s="13" t="inlineStr">
        <is>
          <t>Descripción / Funcionalidad</t>
        </is>
      </c>
      <c r="D1" s="18" t="inlineStr">
        <is>
          <t>HU-28 · Atravesar una pared con el Espectro</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6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Derrota de Pacman con el cooldown en 8.4 s: el nivel se reinició y el cooldown siguió en 8.1 s (estrella apagada). Precondición preparada por script (posiciones y fantasmas de la IA retirados) para aislar la condición.</t>
        </is>
      </c>
      <c r="L4" s="11" t="n"/>
    </row>
    <row r="5" ht="30" customHeight="1">
      <c r="A5" s="13" t="inlineStr">
        <is>
          <t>Prioridad (Alta, Media, Baja)</t>
        </is>
      </c>
      <c r="B5" s="18" t="inlineStr">
        <is>
          <t>Alta</t>
        </is>
      </c>
      <c r="C5" s="13" t="inlineStr">
        <is>
          <t>Técnica de diseño</t>
        </is>
      </c>
      <c r="D5" s="7" t="inlineStr">
        <is>
          <t>Transición de estados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con el Espectro, recién usado el poder (cooldown corriendo).</t>
        </is>
      </c>
      <c r="C9" s="14" t="n"/>
      <c r="D9" s="18" t="inlineStr">
        <is>
          <t>Navegador:</t>
        </is>
      </c>
      <c r="E9" s="7" t="inlineStr">
        <is>
          <t>Chromium 141 de escritorio</t>
        </is>
      </c>
    </row>
    <row r="11">
      <c r="A11" s="13" t="inlineStr">
        <is>
          <t>Título del CP</t>
        </is>
      </c>
      <c r="B11" s="34" t="inlineStr">
        <is>
          <t>El cooldown sobrevive al reinicio del nivel (decisión 28)</t>
        </is>
      </c>
      <c r="C11" s="14" t="n"/>
      <c r="D11" s="14" t="n"/>
      <c r="E11" s="14" t="n"/>
    </row>
    <row r="12">
      <c r="A12" s="33" t="n"/>
      <c r="B12" s="14" t="n"/>
      <c r="C12" s="14" t="n"/>
      <c r="D12" s="14" t="n"/>
      <c r="E12" s="14" t="n"/>
    </row>
    <row r="14">
      <c r="A14" s="13" t="inlineStr">
        <is>
          <t>Historias de Usuario</t>
        </is>
      </c>
      <c r="B14" s="7" t="inlineStr">
        <is>
          <t>HU-28</t>
        </is>
      </c>
      <c r="C14" s="13" t="inlineStr">
        <is>
          <t>Épica</t>
        </is>
      </c>
      <c r="D14" s="7" t="inlineStr">
        <is>
          <t>E7 — Poderes de los fantasmas</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29.4" customHeight="1">
      <c r="A18" s="8" t="n">
        <v>1</v>
      </c>
      <c r="B18" s="7" t="inlineStr">
        <is>
          <t>Derrotar a Pacman antes de que termine el cooldown.</t>
        </is>
      </c>
      <c r="C18" s="14" t="n"/>
      <c r="D18" s="7" t="inlineStr">
        <is>
          <t>El nivel se reinicia.</t>
        </is>
      </c>
      <c r="E18" s="14" t="n"/>
    </row>
    <row r="19" ht="29.4" customHeight="1">
      <c r="A19" s="8" t="n">
        <v>2</v>
      </c>
      <c r="B19" s="7" t="inlineStr">
        <is>
          <t>Observar la estrella.</t>
        </is>
      </c>
      <c r="C19" s="14" t="n"/>
      <c r="D19" s="18" t="inlineStr">
        <is>
          <t>Sigue en cooldown: la derrota no recargó el poder; vuelve a estar disponible a los 10 s del uso.</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6.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CP-148</t>
        </is>
      </c>
      <c r="C1" s="13" t="inlineStr">
        <is>
          <t>Descripción / Funcionalidad</t>
        </is>
      </c>
      <c r="D1" s="18" t="inlineStr">
        <is>
          <t>HU-30 · Colocar frutas falsas con el Naval</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Con 2 frutas falsas en el mapa, el jugador derrotó a Pacman: al reiniciarse el nivel desaparecieron sin explotar.</t>
        </is>
      </c>
      <c r="L4" s="11" t="n"/>
    </row>
    <row r="5" ht="30" customHeight="1">
      <c r="A5" s="13" t="inlineStr">
        <is>
          <t>Prioridad (Alta, Media, Baja)</t>
        </is>
      </c>
      <c r="B5" s="18" t="inlineStr">
        <is>
          <t>Media</t>
        </is>
      </c>
      <c r="C5" s="13" t="inlineStr">
        <is>
          <t>Técnica de diseño</t>
        </is>
      </c>
      <c r="D5" s="7" t="inlineStr">
        <is>
          <t>Transición de estados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con el Naval, dos frutas falsas en el mapa.</t>
        </is>
      </c>
      <c r="C9" s="14" t="n"/>
      <c r="D9" s="18" t="inlineStr">
        <is>
          <t>Navegador:</t>
        </is>
      </c>
      <c r="E9" s="7" t="inlineStr">
        <is>
          <t>Chromium 141 de escritorio</t>
        </is>
      </c>
    </row>
    <row r="11">
      <c r="A11" s="13" t="inlineStr">
        <is>
          <t>Título del CP</t>
        </is>
      </c>
      <c r="B11" s="34" t="inlineStr">
        <is>
          <t>Frutas falsas al reiniciarse el nivel (decisión 27)</t>
        </is>
      </c>
      <c r="C11" s="14" t="n"/>
      <c r="D11" s="14" t="n"/>
      <c r="E11" s="14" t="n"/>
    </row>
    <row r="12">
      <c r="A12" s="33" t="n"/>
      <c r="B12" s="14" t="n"/>
      <c r="C12" s="14" t="n"/>
      <c r="D12" s="14" t="n"/>
      <c r="E12" s="14" t="n"/>
    </row>
    <row r="14">
      <c r="A14" s="13" t="inlineStr">
        <is>
          <t>Historias de Usuario</t>
        </is>
      </c>
      <c r="B14" s="7" t="inlineStr">
        <is>
          <t>HU-30</t>
        </is>
      </c>
      <c r="C14" s="13" t="inlineStr">
        <is>
          <t>Épica</t>
        </is>
      </c>
      <c r="D14" s="7" t="inlineStr">
        <is>
          <t>E7 — Poderes de los fantasmas</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Derrotar a Pacman tocándolo con el fantasma.</t>
        </is>
      </c>
      <c r="C18" s="14" t="n"/>
      <c r="D18" s="7" t="inlineStr">
        <is>
          <t>El nivel se reinicia.</t>
        </is>
      </c>
      <c r="E18" s="14" t="n"/>
    </row>
    <row r="19" ht="16.2" customHeight="1">
      <c r="A19" s="8" t="n">
        <v>2</v>
      </c>
      <c r="B19" s="7" t="inlineStr">
        <is>
          <t>Observar el mapa.</t>
        </is>
      </c>
      <c r="C19" s="14" t="n"/>
      <c r="D19" s="18" t="inlineStr">
        <is>
          <t>Las frutas falsas desaparecieron sin explotar.</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7.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CP-149</t>
        </is>
      </c>
      <c r="C1" s="13" t="inlineStr">
        <is>
          <t>Descripción / Funcionalidad</t>
        </is>
      </c>
      <c r="D1" s="18" t="inlineStr">
        <is>
          <t>HU-31 · Hacer un dash con el Acelerado</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30"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Pacman en (1,6), dash desde (1,4) hasta (1,7): Pacman perdió una vida (3 → 2).</t>
        </is>
      </c>
      <c r="L4" s="11" t="n"/>
    </row>
    <row r="5" ht="30" customHeight="1">
      <c r="A5" s="13" t="inlineStr">
        <is>
          <t>Prioridad (Alta, Media, Baja)</t>
        </is>
      </c>
      <c r="B5" s="18" t="inlineStr">
        <is>
          <t>Alta</t>
        </is>
      </c>
      <c r="C5" s="13" t="inlineStr">
        <is>
          <t>Técnica de diseño</t>
        </is>
      </c>
      <c r="D5" s="7" t="inlineStr">
        <is>
          <t>Adivinación de errores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42.59999999999999" customHeight="1">
      <c r="A9" s="8" t="n">
        <v>2</v>
      </c>
      <c r="B9" s="7" t="inlineStr">
        <is>
          <t>Partida en curso en modo GhostMan (GM) con el Acelerado, Pacman sin PowerUp a 2 celdas por delante en el mismo pasillo.</t>
        </is>
      </c>
      <c r="C9" s="14" t="n"/>
      <c r="D9" s="18" t="inlineStr">
        <is>
          <t>Navegador:</t>
        </is>
      </c>
      <c r="E9" s="7" t="inlineStr">
        <is>
          <t>Chromium 141 de escritorio</t>
        </is>
      </c>
    </row>
    <row r="11">
      <c r="A11" s="13" t="inlineStr">
        <is>
          <t>Título del CP</t>
        </is>
      </c>
      <c r="B11" s="34" t="inlineStr">
        <is>
          <t>Dash que pasa por encima de Pacman (decisión 32)</t>
        </is>
      </c>
      <c r="C11" s="14" t="n"/>
      <c r="D11" s="14" t="n"/>
      <c r="E11" s="14" t="n"/>
    </row>
    <row r="12">
      <c r="A12" s="33" t="n"/>
      <c r="B12" s="14" t="n"/>
      <c r="C12" s="14" t="n"/>
      <c r="D12" s="14" t="n"/>
      <c r="E12" s="14" t="n"/>
    </row>
    <row r="14">
      <c r="A14" s="13" t="inlineStr">
        <is>
          <t>Historias de Usuario</t>
        </is>
      </c>
      <c r="B14" s="7" t="inlineStr">
        <is>
          <t>HU-31</t>
        </is>
      </c>
      <c r="C14" s="13" t="inlineStr">
        <is>
          <t>Épica</t>
        </is>
      </c>
      <c r="D14" s="7" t="inlineStr">
        <is>
          <t>E7 — Poderes de los fantasmas</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Hacer el dash de 3 celdas.</t>
        </is>
      </c>
      <c r="C18" s="14" t="n"/>
      <c r="D18" s="7" t="inlineStr">
        <is>
          <t>El fantasma termina más allá de Pacman.</t>
        </is>
      </c>
      <c r="E18" s="14" t="n"/>
    </row>
    <row r="19" ht="29.4" customHeight="1">
      <c r="A19" s="8" t="n">
        <v>2</v>
      </c>
      <c r="B19" s="7" t="inlineStr">
        <is>
          <t>Observar el contador.</t>
        </is>
      </c>
      <c r="C19" s="14" t="n"/>
      <c r="D19" s="18" t="inlineStr">
        <is>
          <t>Pacman pierde una vida: el contacto se evalúa en todo el trayecto.</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8.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CP-150</t>
        </is>
      </c>
      <c r="C1" s="13" t="inlineStr">
        <is>
          <t>Descripción / Funcionalidad</t>
        </is>
      </c>
      <c r="D1" s="18" t="inlineStr">
        <is>
          <t>HU-32 · Saber cuándo puedo usar mi poder</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Contra el borde no hubo dash y el cooldown quedó en 0; en el pasillo libre el dash se ejecutó de inmediato.</t>
        </is>
      </c>
      <c r="L4" s="11" t="n"/>
    </row>
    <row r="5" ht="30" customHeight="1">
      <c r="A5" s="13" t="inlineStr">
        <is>
          <t>Prioridad (Alta, Media, Baja)</t>
        </is>
      </c>
      <c r="B5" s="18" t="inlineStr">
        <is>
          <t>Media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42.59999999999999" customHeight="1">
      <c r="A9" s="8" t="n">
        <v>2</v>
      </c>
      <c r="B9" s="7" t="inlineStr">
        <is>
          <t>Partida en curso en modo GhostMan (GM) con el Acelerado, detenido con un muro inmediatamente adelante.</t>
        </is>
      </c>
      <c r="C9" s="14" t="n"/>
      <c r="D9" s="18" t="inlineStr">
        <is>
          <t>Navegador:</t>
        </is>
      </c>
      <c r="E9" s="7" t="inlineStr">
        <is>
          <t>Chromium 141 de escritorio</t>
        </is>
      </c>
    </row>
    <row r="11">
      <c r="A11" s="13" t="inlineStr">
        <is>
          <t>Título del CP</t>
        </is>
      </c>
      <c r="B11" s="34" t="inlineStr">
        <is>
          <t>Poder sin efecto no consume el cooldown (decisión 25)</t>
        </is>
      </c>
      <c r="C11" s="14" t="n"/>
      <c r="D11" s="14" t="n"/>
      <c r="E11" s="14" t="n"/>
    </row>
    <row r="12">
      <c r="A12" s="33" t="n"/>
      <c r="B12" s="14" t="n"/>
      <c r="C12" s="14" t="n"/>
      <c r="D12" s="14" t="n"/>
      <c r="E12" s="14" t="n"/>
    </row>
    <row r="14">
      <c r="A14" s="13" t="inlineStr">
        <is>
          <t>Historias de Usuario</t>
        </is>
      </c>
      <c r="B14" s="7" t="inlineStr">
        <is>
          <t>HU-32</t>
        </is>
      </c>
      <c r="C14" s="13" t="inlineStr">
        <is>
          <t>Épica</t>
        </is>
      </c>
      <c r="D14" s="7" t="inlineStr">
        <is>
          <t>E7 — Poderes de los fantasmas</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Presionar espacio.</t>
        </is>
      </c>
      <c r="C18" s="14" t="n"/>
      <c r="D18" s="7" t="inlineStr">
        <is>
          <t>No hay desplazamiento.</t>
        </is>
      </c>
      <c r="E18" s="14" t="n"/>
    </row>
    <row r="19" ht="29.4" customHeight="1">
      <c r="A19" s="8" t="n">
        <v>2</v>
      </c>
      <c r="B19" s="7" t="inlineStr">
        <is>
          <t>Mover el fantasma a un pasillo libre y presionar espacio de inmediato.</t>
        </is>
      </c>
      <c r="C19" s="14" t="n"/>
      <c r="D19" s="18" t="inlineStr">
        <is>
          <t>El dash se ejecuta: el intento sin efecto no arrancó el cooldown.</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89.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CP-151</t>
        </is>
      </c>
      <c r="C1" s="13" t="inlineStr">
        <is>
          <t>Descripción / Funcionalidad</t>
        </is>
      </c>
      <c r="D1" s="18" t="inlineStr">
        <is>
          <t>HU-33 · Enfrentar a un Pacman que destruye paredes en el nivel 2</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Al romperse la pared (10,5) se vio el destello con escombros (captura); la celda quedó transitable y el fantasma del jugador pudo ocuparla.</t>
        </is>
      </c>
      <c r="L4" s="11" t="n"/>
    </row>
    <row r="5" ht="30" customHeight="1">
      <c r="A5" s="13" t="inlineStr">
        <is>
          <t>Prioridad (Alta, Media, Baja)</t>
        </is>
      </c>
      <c r="B5" s="18" t="inlineStr">
        <is>
          <t>Media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16.2" customHeight="1">
      <c r="A9" s="8" t="n">
        <v>2</v>
      </c>
      <c r="B9" s="7" t="inlineStr">
        <is>
          <t>Igual que CP-101.</t>
        </is>
      </c>
      <c r="C9" s="14" t="n"/>
      <c r="D9" s="18" t="inlineStr">
        <is>
          <t>Navegador:</t>
        </is>
      </c>
      <c r="E9" s="7" t="inlineStr">
        <is>
          <t>Chromium 141 de escritorio</t>
        </is>
      </c>
    </row>
    <row r="11">
      <c r="A11" s="13" t="inlineStr">
        <is>
          <t>Título del CP</t>
        </is>
      </c>
      <c r="B11" s="34" t="inlineStr">
        <is>
          <t>Pared destruida: visible y transitable para todos</t>
        </is>
      </c>
      <c r="C11" s="14" t="n"/>
      <c r="D11" s="14" t="n"/>
      <c r="E11" s="14" t="n"/>
    </row>
    <row r="12">
      <c r="A12" s="33" t="n"/>
      <c r="B12" s="14" t="n"/>
      <c r="C12" s="14" t="n"/>
      <c r="D12" s="14" t="n"/>
      <c r="E12" s="14" t="n"/>
    </row>
    <row r="14">
      <c r="A14" s="13" t="inlineStr">
        <is>
          <t>Historias de Usuario</t>
        </is>
      </c>
      <c r="B14" s="7" t="inlineStr">
        <is>
          <t>HU-33</t>
        </is>
      </c>
      <c r="C14" s="13" t="inlineStr">
        <is>
          <t>Épica</t>
        </is>
      </c>
      <c r="D14" s="7" t="inlineStr">
        <is>
          <t>E8 — Dificultad del modo GhostMan</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Observar el momento en que Pacman rompe una pared.</t>
        </is>
      </c>
      <c r="C18" s="14" t="n"/>
      <c r="D18" s="7" t="inlineStr">
        <is>
          <t>Se ve un destello con escombros sobre la celda.</t>
        </is>
      </c>
      <c r="E18" s="14" t="n"/>
    </row>
    <row r="19" ht="29.4" customHeight="1">
      <c r="A19" s="8" t="n">
        <v>2</v>
      </c>
      <c r="B19" s="7" t="inlineStr">
        <is>
          <t>Mover el fantasma del jugador a través de esa celda.</t>
        </is>
      </c>
      <c r="C19" s="14" t="n"/>
      <c r="D19" s="18" t="inlineStr">
        <is>
          <t>La celda es transitable también para los fantasmas.</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0.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CP-152</t>
        </is>
      </c>
      <c r="C1" s="13" t="inlineStr">
        <is>
          <t>Descripción / Funcionalidad</t>
        </is>
      </c>
      <c r="D1" s="18" t="inlineStr">
        <is>
          <t>HU-43 · Enfrentar al Saltarín, al Naval y al Acelerado en el modo Pacman</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82.1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24 reapariciones en el nivel 2: {'classic': 11, 'specter': 3, 'jumper': 4, 'accelerated': 3, 'naval': 3} (13 con poderes). Aparecen los cuatro tipos. (Reapariciones forzadas por script; la proporción exacta del 50 % la verifica la suite automatizada con 1000 casos.)</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Pacman desde el menú (nivel 2).</t>
        </is>
      </c>
      <c r="C9" s="14" t="n"/>
      <c r="D9" s="18" t="inlineStr">
        <is>
          <t>Navegador:</t>
        </is>
      </c>
      <c r="E9" s="7" t="inlineStr">
        <is>
          <t>Chromium 141 de escritorio</t>
        </is>
      </c>
    </row>
    <row r="11">
      <c r="A11" s="13" t="inlineStr">
        <is>
          <t>Título del CP</t>
        </is>
      </c>
      <c r="B11" s="34" t="inlineStr">
        <is>
          <t>Nivel 2: reaparición con cualquiera de los cuatro tipos</t>
        </is>
      </c>
      <c r="C11" s="14" t="n"/>
      <c r="D11" s="14" t="n"/>
      <c r="E11" s="14" t="n"/>
    </row>
    <row r="12">
      <c r="A12" s="33" t="n"/>
      <c r="B12" s="14" t="n"/>
      <c r="C12" s="14" t="n"/>
      <c r="D12" s="14" t="n"/>
      <c r="E12" s="14" t="n"/>
    </row>
    <row r="14">
      <c r="A14" s="13" t="inlineStr">
        <is>
          <t>Historias de Usuario</t>
        </is>
      </c>
      <c r="B14" s="7" t="inlineStr">
        <is>
          <t>HU-43</t>
        </is>
      </c>
      <c r="C14" s="13" t="inlineStr">
        <is>
          <t>Épica</t>
        </is>
      </c>
      <c r="D14" s="7" t="inlineStr">
        <is>
          <t>E4 — Niveles y progresión de dificultad</t>
        </is>
      </c>
      <c r="E14" s="14" t="n"/>
    </row>
    <row r="15" ht="28" customHeight="1">
      <c r="A15" s="13" t="inlineStr">
        <is>
          <t>Estado Automatización</t>
        </is>
      </c>
      <c r="B15" s="7" t="inlineStr">
        <is>
          <t>Automatizado (script de navegador, Entrega 2)</t>
        </is>
      </c>
      <c r="C15" s="13" t="inlineStr">
        <is>
          <t>Camino feliz</t>
        </is>
      </c>
      <c r="D15" s="7" t="inlineStr">
        <is>
          <t>Sí</t>
        </is>
      </c>
      <c r="E15" s="14" t="n"/>
    </row>
    <row r="17">
      <c r="A17" s="13" t="inlineStr">
        <is>
          <t>Pasos #</t>
        </is>
      </c>
      <c r="B17" s="13" t="inlineStr">
        <is>
          <t>Detalle de pasos</t>
        </is>
      </c>
      <c r="C17" s="33" t="n"/>
      <c r="D17" s="13" t="inlineStr">
        <is>
          <t>Resultado esperado</t>
        </is>
      </c>
      <c r="E17" s="33" t="n"/>
    </row>
    <row r="18" ht="42.59999999999999" customHeight="1">
      <c r="A18" s="8" t="n">
        <v>1</v>
      </c>
      <c r="B18" s="7" t="inlineStr">
        <is>
          <t>Comer fantasmas durante el nivel 2 y anotar el tipo con que reaparece cada uno (al menos 16 reapariciones).</t>
        </is>
      </c>
      <c r="C18" s="14" t="n"/>
      <c r="D18" s="7" t="inlineStr">
        <is>
          <t>Reaparecen clásicos y con poderes.</t>
        </is>
      </c>
      <c r="E18" s="14" t="n"/>
    </row>
    <row r="19" ht="42.59999999999999" customHeight="1">
      <c r="A19" s="8" t="n">
        <v>2</v>
      </c>
      <c r="B19" s="7" t="inlineStr">
        <is>
          <t>Revisar los tipos con poderes anotados.</t>
        </is>
      </c>
      <c r="C19" s="14" t="n"/>
      <c r="D19" s="18" t="inlineStr">
        <is>
          <t>Aparecen los cuatro tipos (espectro, saltarín, naval, acelerado), en una proporción cercana al 50 % con poderes.</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1.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CP-153</t>
        </is>
      </c>
      <c r="C1" s="13" t="inlineStr">
        <is>
          <t>Descripción / Funcionalidad</t>
        </is>
      </c>
      <c r="D1" s="18" t="inlineStr">
        <is>
          <t>HU-43 · Enfrentar al Saltarín, al Naval y al Acelerado en el modo Pacman</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Al iniciar el nivel 3: ['specter', 'jumper', 'naval', 'accelerated']. El fantasma comido reapareció como naval.</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Pacman desde el menú (nivel 3).</t>
        </is>
      </c>
      <c r="C9" s="14" t="n"/>
      <c r="D9" s="18" t="inlineStr">
        <is>
          <t>Navegador:</t>
        </is>
      </c>
      <c r="E9" s="7" t="inlineStr">
        <is>
          <t>Chromium 141 de escritorio</t>
        </is>
      </c>
    </row>
    <row r="11">
      <c r="A11" s="13" t="inlineStr">
        <is>
          <t>Título del CP</t>
        </is>
      </c>
      <c r="B11" s="34" t="inlineStr">
        <is>
          <t>Nivel 3: uno de cada tipo con poderes</t>
        </is>
      </c>
      <c r="C11" s="14" t="n"/>
      <c r="D11" s="14" t="n"/>
      <c r="E11" s="14" t="n"/>
    </row>
    <row r="12">
      <c r="A12" s="33" t="n"/>
      <c r="B12" s="14" t="n"/>
      <c r="C12" s="14" t="n"/>
      <c r="D12" s="14" t="n"/>
      <c r="E12" s="14" t="n"/>
    </row>
    <row r="14">
      <c r="A14" s="13" t="inlineStr">
        <is>
          <t>Historias de Usuario</t>
        </is>
      </c>
      <c r="B14" s="7" t="inlineStr">
        <is>
          <t>HU-43</t>
        </is>
      </c>
      <c r="C14" s="13" t="inlineStr">
        <is>
          <t>Épica</t>
        </is>
      </c>
      <c r="D14" s="7" t="inlineStr">
        <is>
          <t>E4 — Niveles y progresión de dificultad</t>
        </is>
      </c>
      <c r="E14" s="14" t="n"/>
    </row>
    <row r="15" ht="28" customHeight="1">
      <c r="A15" s="13" t="inlineStr">
        <is>
          <t>Estado Automatización</t>
        </is>
      </c>
      <c r="B15" s="7" t="inlineStr">
        <is>
          <t>Automatizado (script de navegador, Entrega 2)</t>
        </is>
      </c>
      <c r="C15" s="13" t="inlineStr">
        <is>
          <t>Camino feliz</t>
        </is>
      </c>
      <c r="D15" s="7" t="inlineStr">
        <is>
          <t>Sí</t>
        </is>
      </c>
      <c r="E15" s="14" t="n"/>
    </row>
    <row r="17">
      <c r="A17" s="13" t="inlineStr">
        <is>
          <t>Pasos #</t>
        </is>
      </c>
      <c r="B17" s="13" t="inlineStr">
        <is>
          <t>Detalle de pasos</t>
        </is>
      </c>
      <c r="C17" s="33" t="n"/>
      <c r="D17" s="13" t="inlineStr">
        <is>
          <t>Resultado esperado</t>
        </is>
      </c>
      <c r="E17" s="33" t="n"/>
    </row>
    <row r="18" ht="29.4" customHeight="1">
      <c r="A18" s="8" t="n">
        <v>1</v>
      </c>
      <c r="B18" s="7" t="inlineStr">
        <is>
          <t>Observar los cuatro fantasmas al empezar el nivel 3.</t>
        </is>
      </c>
      <c r="C18" s="14" t="n"/>
      <c r="D18" s="7" t="inlineStr">
        <is>
          <t>Hay un espectro, un saltarín, un naval y un acelerado.</t>
        </is>
      </c>
      <c r="E18" s="14" t="n"/>
    </row>
    <row r="19" ht="16.2" customHeight="1">
      <c r="A19" s="8" t="n">
        <v>2</v>
      </c>
      <c r="B19" s="7" t="inlineStr">
        <is>
          <t>Comer un fantasma y observar su reaparición.</t>
        </is>
      </c>
      <c r="C19" s="14" t="n"/>
      <c r="D19" s="18" t="inlineStr">
        <is>
          <t>Reaparece con un tipo con poderes, nunca clásico.</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2.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CP-154</t>
        </is>
      </c>
      <c r="C1" s="13" t="inlineStr">
        <is>
          <t>Descripción / Funcionalidad</t>
        </is>
      </c>
      <c r="D1" s="18" t="inlineStr">
        <is>
          <t>HU-43 · Enfrentar al Saltarín, al Naval y al Acelerado en el modo Pacman</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6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Los cuatro tipos se ven distintos: espectro translúcido con contorno blanco, saltarín con chevron, naval con onda y acelerado con doble chevron (captura CP-154.png); el clásico del nivel 1 no lleva marca.</t>
        </is>
      </c>
      <c r="L4" s="11" t="n"/>
    </row>
    <row r="5" ht="30" customHeight="1">
      <c r="A5" s="13" t="inlineStr">
        <is>
          <t>Prioridad (Alta, Media, Baja)</t>
        </is>
      </c>
      <c r="B5" s="18" t="inlineStr">
        <is>
          <t>Media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16.2" customHeight="1">
      <c r="A9" s="8" t="n">
        <v>2</v>
      </c>
      <c r="B9" s="7" t="inlineStr">
        <is>
          <t>Igual que CP-153.</t>
        </is>
      </c>
      <c r="C9" s="14" t="n"/>
      <c r="D9" s="18" t="inlineStr">
        <is>
          <t>Navegador:</t>
        </is>
      </c>
      <c r="E9" s="7" t="inlineStr">
        <is>
          <t>Chromium 141 de escritorio</t>
        </is>
      </c>
    </row>
    <row r="11">
      <c r="A11" s="13" t="inlineStr">
        <is>
          <t>Título del CP</t>
        </is>
      </c>
      <c r="B11" s="34" t="inlineStr">
        <is>
          <t>Tipos distinguibles entre sí</t>
        </is>
      </c>
      <c r="C11" s="14" t="n"/>
      <c r="D11" s="14" t="n"/>
      <c r="E11" s="14" t="n"/>
    </row>
    <row r="12">
      <c r="A12" s="33" t="n"/>
      <c r="B12" s="14" t="n"/>
      <c r="C12" s="14" t="n"/>
      <c r="D12" s="14" t="n"/>
      <c r="E12" s="14" t="n"/>
    </row>
    <row r="14">
      <c r="A14" s="13" t="inlineStr">
        <is>
          <t>Historias de Usuario</t>
        </is>
      </c>
      <c r="B14" s="7" t="inlineStr">
        <is>
          <t>HU-43</t>
        </is>
      </c>
      <c r="C14" s="13" t="inlineStr">
        <is>
          <t>Épica</t>
        </is>
      </c>
      <c r="D14" s="7" t="inlineStr">
        <is>
          <t>E4 — Niveles y progresión de dificultad</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Capturar los cuatro fantasmas del nivel 3.</t>
        </is>
      </c>
      <c r="C18" s="14" t="n"/>
      <c r="D18" s="7" t="inlineStr">
        <is>
          <t>Cada uno se ve distinto.</t>
        </is>
      </c>
      <c r="E18" s="14" t="n"/>
    </row>
    <row r="19" ht="42.59999999999999" customHeight="1">
      <c r="A19" s="8" t="n">
        <v>2</v>
      </c>
      <c r="B19" s="7" t="inlineStr">
        <is>
          <t>Compararlos con un clásico del nivel 1.</t>
        </is>
      </c>
      <c r="C19" s="14" t="n"/>
      <c r="D19" s="18" t="inlineStr">
        <is>
          <t>Espectro translúcido, saltarín con chevron, naval con onda, acelerado con doble chevron; el clásico sin marca.</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3.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CP-155</t>
        </is>
      </c>
      <c r="C1" s="13" t="inlineStr">
        <is>
          <t>Descripción / Funcionalidad</t>
        </is>
      </c>
      <c r="D1" s="18" t="inlineStr">
        <is>
          <t>HU-43 · Enfrentar al Saltarín, al Naval y al Acelerado en el modo Pacman</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Con Pacman a 6 celdas el saltarín saltó de (13,4) a (7,6) (distancia 8); 5 s después seguía en cooldown (4.8 s).</t>
        </is>
      </c>
      <c r="L4" s="11" t="n"/>
    </row>
    <row r="5" ht="30" customHeight="1">
      <c r="A5" s="13" t="inlineStr">
        <is>
          <t>Prioridad (Alta, Media, Baja)</t>
        </is>
      </c>
      <c r="B5" s="18" t="inlineStr">
        <is>
          <t>Media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Pacman desde el menú (nivel 3), en persecución.</t>
        </is>
      </c>
      <c r="C9" s="14" t="n"/>
      <c r="D9" s="18" t="inlineStr">
        <is>
          <t>Navegador:</t>
        </is>
      </c>
      <c r="E9" s="7" t="inlineStr">
        <is>
          <t>Chromium 141 de escritorio</t>
        </is>
      </c>
    </row>
    <row r="11">
      <c r="A11" s="13" t="inlineStr">
        <is>
          <t>Título del CP</t>
        </is>
      </c>
      <c r="B11" s="34" t="inlineStr">
        <is>
          <t>Saltarín de la IA</t>
        </is>
      </c>
      <c r="C11" s="14" t="n"/>
      <c r="D11" s="14" t="n"/>
      <c r="E11" s="14" t="n"/>
    </row>
    <row r="12">
      <c r="A12" s="33" t="n"/>
      <c r="B12" s="14" t="n"/>
      <c r="C12" s="14" t="n"/>
      <c r="D12" s="14" t="n"/>
      <c r="E12" s="14" t="n"/>
    </row>
    <row r="14">
      <c r="A14" s="13" t="inlineStr">
        <is>
          <t>Historias de Usuario</t>
        </is>
      </c>
      <c r="B14" s="7" t="inlineStr">
        <is>
          <t>HU-43</t>
        </is>
      </c>
      <c r="C14" s="13" t="inlineStr">
        <is>
          <t>Épica</t>
        </is>
      </c>
      <c r="D14" s="7" t="inlineStr">
        <is>
          <t>E4 — Niveles y progresión de dificultad</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29.4" customHeight="1">
      <c r="A18" s="8" t="n">
        <v>1</v>
      </c>
      <c r="B18" s="7" t="inlineStr">
        <is>
          <t>Acercar a Pacman a 10 celdas o menos del saltarín.</t>
        </is>
      </c>
      <c r="C18" s="14" t="n"/>
      <c r="D18" s="7" t="inlineStr">
        <is>
          <t>El saltarín se teletransporta a una celda transitable a ≤ 10 de su posición.</t>
        </is>
      </c>
      <c r="E18" s="14" t="n"/>
    </row>
    <row r="19" ht="16.2" customHeight="1">
      <c r="A19" s="8" t="n">
        <v>2</v>
      </c>
      <c r="B19" s="7" t="inlineStr">
        <is>
          <t>Observar el siguiente salto.</t>
        </is>
      </c>
      <c r="C19" s="14" t="n"/>
      <c r="D19" s="18" t="inlineStr">
        <is>
          <t>No vuelve a saltar antes de 10 s.</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4.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CP-156</t>
        </is>
      </c>
      <c r="C1" s="13" t="inlineStr">
        <is>
          <t>Descripción / Funcionalidad</t>
        </is>
      </c>
      <c r="D1" s="18" t="inlineStr">
        <is>
          <t>HU-43 · Enfrentar al Saltarín, al Naval y al Acelerado en el modo Pacman</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82.1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En 16 s el naval colocó frutas falsas en t = [-0.4, 4.5, 9.6, 14.6] s (separaciones [4.9, 5.1, 5.0] s: una cada 5 s, al volver el cooldown); como máximo hubo 2 en el mapa a la vez. (Contacto con Pacman anulado por script para que no se reinicie el nivel.)</t>
        </is>
      </c>
      <c r="L4" s="11" t="n"/>
    </row>
    <row r="5" ht="30" customHeight="1">
      <c r="A5" s="13" t="inlineStr">
        <is>
          <t>Prioridad (Alta, Media, Baja)</t>
        </is>
      </c>
      <c r="B5" s="18" t="inlineStr">
        <is>
          <t>Media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Pacman desde el menú (nivel 3).</t>
        </is>
      </c>
      <c r="C9" s="14" t="n"/>
      <c r="D9" s="18" t="inlineStr">
        <is>
          <t>Navegador:</t>
        </is>
      </c>
      <c r="E9" s="7" t="inlineStr">
        <is>
          <t>Chromium 141 de escritorio</t>
        </is>
      </c>
    </row>
    <row r="11">
      <c r="A11" s="13" t="inlineStr">
        <is>
          <t>Título del CP</t>
        </is>
      </c>
      <c r="B11" s="34" t="inlineStr">
        <is>
          <t>Naval de la IA</t>
        </is>
      </c>
      <c r="C11" s="14" t="n"/>
      <c r="D11" s="14" t="n"/>
      <c r="E11" s="14" t="n"/>
    </row>
    <row r="12">
      <c r="A12" s="33" t="n"/>
      <c r="B12" s="14" t="n"/>
      <c r="C12" s="14" t="n"/>
      <c r="D12" s="14" t="n"/>
      <c r="E12" s="14" t="n"/>
    </row>
    <row r="14">
      <c r="A14" s="13" t="inlineStr">
        <is>
          <t>Historias de Usuario</t>
        </is>
      </c>
      <c r="B14" s="7" t="inlineStr">
        <is>
          <t>HU-43</t>
        </is>
      </c>
      <c r="C14" s="13" t="inlineStr">
        <is>
          <t>Épica</t>
        </is>
      </c>
      <c r="D14" s="7" t="inlineStr">
        <is>
          <t>E4 — Niveles y progresión de dificultad</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Observar al naval durante 15 s.</t>
        </is>
      </c>
      <c r="C18" s="14" t="n"/>
      <c r="D18" s="7" t="inlineStr">
        <is>
          <t>Coloca frutas falsas cada 5 s o más.</t>
        </is>
      </c>
      <c r="E18" s="14" t="n"/>
    </row>
    <row r="19" ht="29.4" customHeight="1">
      <c r="A19" s="8" t="n">
        <v>2</v>
      </c>
      <c r="B19" s="7" t="inlineStr">
        <is>
          <t>Contar las frutas falsas en el mapa.</t>
        </is>
      </c>
      <c r="C19" s="14" t="n"/>
      <c r="D19" s="18" t="inlineStr">
        <is>
          <t>Nunca hay más de 2; si Pacman come una sin PowerUp, pierde una vida.</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5.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CP-157</t>
        </is>
      </c>
      <c r="C1" s="13" t="inlineStr">
        <is>
          <t>Descripción / Funcionalidad</t>
        </is>
      </c>
      <c r="D1" s="18" t="inlineStr">
        <is>
          <t>HU-43 · Enfrentar al Saltarín, al Naval y al Acelerado en el modo Pacman</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Con Pacman a 5 celdas el acelerado hizo el dash: velocidad 2.5 celdas/s durante 4.9 s y cooldown 9.9 s.</t>
        </is>
      </c>
      <c r="L4" s="11" t="n"/>
    </row>
    <row r="5" ht="30" customHeight="1">
      <c r="A5" s="13" t="inlineStr">
        <is>
          <t>Prioridad (Alta, Media, Baja)</t>
        </is>
      </c>
      <c r="B5" s="18" t="inlineStr">
        <is>
          <t>Media</t>
        </is>
      </c>
      <c r="C5" s="13" t="inlineStr">
        <is>
          <t>Técnica de diseño</t>
        </is>
      </c>
      <c r="D5" s="7" t="inlineStr">
        <is>
          <t>Valores límite</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Pacman desde el menú (nivel 3), en persecución.</t>
        </is>
      </c>
      <c r="C9" s="14" t="n"/>
      <c r="D9" s="18" t="inlineStr">
        <is>
          <t>Navegador:</t>
        </is>
      </c>
      <c r="E9" s="7" t="inlineStr">
        <is>
          <t>Chromium 141 de escritorio</t>
        </is>
      </c>
    </row>
    <row r="11">
      <c r="A11" s="13" t="inlineStr">
        <is>
          <t>Título del CP</t>
        </is>
      </c>
      <c r="B11" s="34" t="inlineStr">
        <is>
          <t>Acelerado de la IA</t>
        </is>
      </c>
      <c r="C11" s="14" t="n"/>
      <c r="D11" s="14" t="n"/>
      <c r="E11" s="14" t="n"/>
    </row>
    <row r="12">
      <c r="A12" s="33" t="n"/>
      <c r="B12" s="14" t="n"/>
      <c r="C12" s="14" t="n"/>
      <c r="D12" s="14" t="n"/>
      <c r="E12" s="14" t="n"/>
    </row>
    <row r="14">
      <c r="A14" s="13" t="inlineStr">
        <is>
          <t>Historias de Usuario</t>
        </is>
      </c>
      <c r="B14" s="7" t="inlineStr">
        <is>
          <t>HU-43</t>
        </is>
      </c>
      <c r="C14" s="13" t="inlineStr">
        <is>
          <t>Épica</t>
        </is>
      </c>
      <c r="D14" s="7" t="inlineStr">
        <is>
          <t>E4 — Niveles y progresión de dificultad</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29.4" customHeight="1">
      <c r="A18" s="8" t="n">
        <v>1</v>
      </c>
      <c r="B18" s="7" t="inlineStr">
        <is>
          <t>Acercar a Pacman a 6 celdas o menos del acelerado con pasillo libre.</t>
        </is>
      </c>
      <c r="C18" s="14" t="n"/>
      <c r="D18" s="7" t="inlineStr">
        <is>
          <t>El acelerado hace un dash.</t>
        </is>
      </c>
      <c r="E18" s="14" t="n"/>
    </row>
    <row r="19" ht="29.4" customHeight="1">
      <c r="A19" s="8" t="n">
        <v>2</v>
      </c>
      <c r="B19" s="7" t="inlineStr">
        <is>
          <t>Observarlo en los 5 s siguientes y su próximo dash.</t>
        </is>
      </c>
      <c r="C19" s="14" t="n"/>
      <c r="D19" s="18" t="inlineStr">
        <is>
          <t>Se mueve a la mitad de velocidad 5 s y no repite el dash antes de 10 s.</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6.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CP-158</t>
        </is>
      </c>
      <c r="C1" s="13" t="inlineStr">
        <is>
          <t>Descripción / Funcionalidad</t>
        </is>
      </c>
      <c r="D1" s="18" t="inlineStr">
        <is>
          <t>HU-43 · Enfrentar al Saltarín, al Naval y al Acelerado en el modo Pacman</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Con los cuatro tipos vulnerables durante 6 s (PowerUp prolongado por script), ninguno usó su poder: sin saltos, frutas, dashes ni cruces.</t>
        </is>
      </c>
      <c r="L4" s="11" t="n"/>
    </row>
    <row r="5" ht="30" customHeight="1">
      <c r="A5" s="13" t="inlineStr">
        <is>
          <t>Prioridad (Alta, Media, Baja)</t>
        </is>
      </c>
      <c r="B5" s="18" t="inlineStr">
        <is>
          <t>Alta</t>
        </is>
      </c>
      <c r="C5" s="13" t="inlineStr">
        <is>
          <t>Técnica de diseño</t>
        </is>
      </c>
      <c r="D5" s="7" t="inlineStr">
        <is>
          <t>Tabla de decisión</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Pacman desde el menú (nivel 3).</t>
        </is>
      </c>
      <c r="C9" s="14" t="n"/>
      <c r="D9" s="18" t="inlineStr">
        <is>
          <t>Navegador:</t>
        </is>
      </c>
      <c r="E9" s="7" t="inlineStr">
        <is>
          <t>Chromium 141 de escritorio</t>
        </is>
      </c>
    </row>
    <row r="11">
      <c r="A11" s="13" t="inlineStr">
        <is>
          <t>Título del CP</t>
        </is>
      </c>
      <c r="B11" s="34" t="inlineStr">
        <is>
          <t>Ningún fantasma vulnerable usa su poder</t>
        </is>
      </c>
      <c r="C11" s="14" t="n"/>
      <c r="D11" s="14" t="n"/>
      <c r="E11" s="14" t="n"/>
    </row>
    <row r="12">
      <c r="A12" s="33" t="n"/>
      <c r="B12" s="14" t="n"/>
      <c r="C12" s="14" t="n"/>
      <c r="D12" s="14" t="n"/>
      <c r="E12" s="14" t="n"/>
    </row>
    <row r="14">
      <c r="A14" s="13" t="inlineStr">
        <is>
          <t>Historias de Usuario</t>
        </is>
      </c>
      <c r="B14" s="7" t="inlineStr">
        <is>
          <t>HU-43</t>
        </is>
      </c>
      <c r="C14" s="13" t="inlineStr">
        <is>
          <t>Épica</t>
        </is>
      </c>
      <c r="D14" s="7" t="inlineStr">
        <is>
          <t>E4 — Niveles y progresión de dificultad</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Comer una esfera grande cerca de los fantasmas.</t>
        </is>
      </c>
      <c r="C18" s="14" t="n"/>
      <c r="D18" s="7" t="inlineStr">
        <is>
          <t>Los cuatro pasan al diseño vulnerable.</t>
        </is>
      </c>
      <c r="E18" s="14" t="n"/>
    </row>
    <row r="19" ht="29.4" customHeight="1">
      <c r="A19" s="8" t="n">
        <v>2</v>
      </c>
      <c r="B19" s="7" t="inlineStr">
        <is>
          <t>Observarlos durante el PowerUp.</t>
        </is>
      </c>
      <c r="C19" s="14" t="n"/>
      <c r="D19" s="18" t="inlineStr">
        <is>
          <t>Ninguno salta, coloca frutas, hace un dash ni atraviesa muros mientras está vulnerable.</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7.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CP-159</t>
        </is>
      </c>
      <c r="C1" s="13" t="inlineStr">
        <is>
          <t>Descripción / Funcionalidad</t>
        </is>
      </c>
      <c r="D1" s="18" t="inlineStr">
        <is>
          <t>HU-43 · Enfrentar al Saltarín, al Naval y al Acelerado en el modo Pacman</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30"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Nivel 1: 8 reapariciones, todas clásicas; en 10 s no apareció ninguna fruta falsa.</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Pacman desde el menú (N1).</t>
        </is>
      </c>
      <c r="C9" s="14" t="n"/>
      <c r="D9" s="18" t="inlineStr">
        <is>
          <t>Navegador:</t>
        </is>
      </c>
      <c r="E9" s="7" t="inlineStr">
        <is>
          <t>Chromium 141 de escritorio</t>
        </is>
      </c>
    </row>
    <row r="11">
      <c r="A11" s="13" t="inlineStr">
        <is>
          <t>Título del CP</t>
        </is>
      </c>
      <c r="B11" s="34" t="inlineStr">
        <is>
          <t>El nivel 1 no cambia</t>
        </is>
      </c>
      <c r="C11" s="14" t="n"/>
      <c r="D11" s="14" t="n"/>
      <c r="E11" s="14" t="n"/>
    </row>
    <row r="12">
      <c r="A12" s="33" t="n"/>
      <c r="B12" s="14" t="n"/>
      <c r="C12" s="14" t="n"/>
      <c r="D12" s="14" t="n"/>
      <c r="E12" s="14" t="n"/>
    </row>
    <row r="14">
      <c r="A14" s="13" t="inlineStr">
        <is>
          <t>Historias de Usuario</t>
        </is>
      </c>
      <c r="B14" s="7" t="inlineStr">
        <is>
          <t>HU-43</t>
        </is>
      </c>
      <c r="C14" s="13" t="inlineStr">
        <is>
          <t>Épica</t>
        </is>
      </c>
      <c r="D14" s="7" t="inlineStr">
        <is>
          <t>E4 — Niveles y progresión de dificultad</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Jugar el nivel 1 comiendo al menos 4 fantasmas.</t>
        </is>
      </c>
      <c r="C18" s="14" t="n"/>
      <c r="D18" s="7" t="inlineStr">
        <is>
          <t>Los fantasmas reaparecen siempre clásicos.</t>
        </is>
      </c>
      <c r="E18" s="14" t="n"/>
    </row>
    <row r="19" ht="16.2" customHeight="1">
      <c r="A19" s="8" t="n">
        <v>2</v>
      </c>
      <c r="B19" s="7" t="inlineStr">
        <is>
          <t>Observar el mapa.</t>
        </is>
      </c>
      <c r="C19" s="14" t="n"/>
      <c r="D19" s="18" t="inlineStr">
        <is>
          <t>No aparecen frutas falsas ni fantasmas con poderes.</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8.xml><?xml version="1.0" encoding="utf-8"?>
<worksheet xmlns="http://schemas.openxmlformats.org/spreadsheetml/2006/main">
  <sheetPr>
    <outlinePr summaryBelow="1" summaryRight="1"/>
    <pageSetUpPr fitToPage="1"/>
  </sheetPr>
  <dimension ref="A1:L21"/>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CP-160</t>
        </is>
      </c>
      <c r="C1" s="13" t="inlineStr">
        <is>
          <t>Descripción / Funcionalidad</t>
        </is>
      </c>
      <c r="D1" s="18" t="inlineStr">
        <is>
          <t>HU-24 · Controlar al fantasma por el mapa</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El fantasma avanzó por la fila 7 hacia Pacman; Pacman cambió de dirección y mantuvo la distancia (mínima 2.6 celdas, no lo alcanzó).</t>
        </is>
      </c>
      <c r="L4" s="11" t="n"/>
    </row>
    <row r="5" ht="30" customHeight="1">
      <c r="A5" s="13" t="inlineStr">
        <is>
          <t>Prioridad (Alta, Media, Baja)</t>
        </is>
      </c>
      <c r="B5" s="18" t="inlineStr">
        <is>
          <t>Alta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nivel 1, Pacman sin PowerUp.</t>
        </is>
      </c>
      <c r="C9" s="14" t="n"/>
      <c r="D9" s="18" t="inlineStr">
        <is>
          <t>Navegador:</t>
        </is>
      </c>
      <c r="E9" s="7" t="inlineStr">
        <is>
          <t>Chromium 141 de escritorio</t>
        </is>
      </c>
    </row>
    <row r="10" ht="16.2" customHeight="1">
      <c r="A10" s="8" t="n"/>
      <c r="B10" s="7" t="n"/>
      <c r="C10" s="14" t="n"/>
      <c r="D10" s="18" t="inlineStr">
        <is>
          <t>Umbral:</t>
        </is>
      </c>
      <c r="E10" s="7" t="inlineStr">
        <is>
          <t>4 celdas de recorrido</t>
        </is>
      </c>
    </row>
    <row r="12">
      <c r="A12" s="13" t="inlineStr">
        <is>
          <t>Título del CP</t>
        </is>
      </c>
      <c r="B12" s="34" t="inlineStr">
        <is>
          <t>Pacman huye de un fantasma cercano (decisión 17)</t>
        </is>
      </c>
      <c r="C12" s="14" t="n"/>
      <c r="D12" s="14" t="n"/>
      <c r="E12" s="14" t="n"/>
    </row>
    <row r="13">
      <c r="A13" s="33" t="n"/>
      <c r="B13" s="14" t="n"/>
      <c r="C13" s="14" t="n"/>
      <c r="D13" s="14" t="n"/>
      <c r="E13" s="14" t="n"/>
    </row>
    <row r="15">
      <c r="A15" s="13" t="inlineStr">
        <is>
          <t>Historias de Usuario</t>
        </is>
      </c>
      <c r="B15" s="7" t="inlineStr">
        <is>
          <t>HU-24</t>
        </is>
      </c>
      <c r="C15" s="13" t="inlineStr">
        <is>
          <t>Épica</t>
        </is>
      </c>
      <c r="D15" s="7" t="inlineStr">
        <is>
          <t>E6 — Modo GhostMan</t>
        </is>
      </c>
      <c r="E15" s="14" t="n"/>
    </row>
    <row r="16" ht="28" customHeight="1">
      <c r="A16" s="13" t="inlineStr">
        <is>
          <t>Estado Automatización</t>
        </is>
      </c>
      <c r="B16" s="7" t="inlineStr">
        <is>
          <t>Automatizado (script de navegador, Entrega 2)</t>
        </is>
      </c>
      <c r="C16" s="13" t="inlineStr">
        <is>
          <t>Camino feliz</t>
        </is>
      </c>
      <c r="D16" s="7" t="inlineStr">
        <is>
          <t>No</t>
        </is>
      </c>
      <c r="E16" s="14" t="n"/>
    </row>
    <row r="18">
      <c r="A18" s="13" t="inlineStr">
        <is>
          <t>Pasos #</t>
        </is>
      </c>
      <c r="B18" s="13" t="inlineStr">
        <is>
          <t>Detalle de pasos</t>
        </is>
      </c>
      <c r="C18" s="33" t="n"/>
      <c r="D18" s="13" t="inlineStr">
        <is>
          <t>Resultado esperado</t>
        </is>
      </c>
      <c r="E18" s="33" t="n"/>
    </row>
    <row r="19" ht="29.4" customHeight="1">
      <c r="A19" s="8" t="n">
        <v>1</v>
      </c>
      <c r="B19" s="7" t="inlineStr">
        <is>
          <t>Acercar el fantasma del jugador a Pacman por un pasillo.</t>
        </is>
      </c>
      <c r="C19" s="14" t="n"/>
      <c r="D19" s="7" t="inlineStr">
        <is>
          <t>Al quedar a 4 celdas o menos, Pacman cambia de dirección.</t>
        </is>
      </c>
      <c r="E19" s="14" t="n"/>
    </row>
    <row r="20" ht="16.2" customHeight="1">
      <c r="A20" s="8" t="n">
        <v>2</v>
      </c>
      <c r="B20" s="7" t="inlineStr">
        <is>
          <t>Medir la distancia en los 2 s siguientes.</t>
        </is>
      </c>
      <c r="C20" s="14" t="n"/>
      <c r="D20" s="18" t="inlineStr">
        <is>
          <t>Pacman se aleja del fantasma.</t>
        </is>
      </c>
      <c r="E20" s="14" t="n"/>
    </row>
    <row r="21" ht="24" customHeight="1">
      <c r="A21" s="21" t="inlineStr">
        <is>
          <t>El caso se aprueba solo si se cumple todo el resultado esperado del último paso (en negrita); si cualquier parte no se cumple, se registra como Fallido.</t>
        </is>
      </c>
    </row>
  </sheetData>
  <mergeCells count="24">
    <mergeCell ref="D20:E20"/>
    <mergeCell ref="B7:C7"/>
    <mergeCell ref="D1:E1"/>
    <mergeCell ref="D19:E19"/>
    <mergeCell ref="B12:E13"/>
    <mergeCell ref="B18:C18"/>
    <mergeCell ref="D2:E2"/>
    <mergeCell ref="A12:A13"/>
    <mergeCell ref="B8:C8"/>
    <mergeCell ref="A3:B3"/>
    <mergeCell ref="A21:E21"/>
    <mergeCell ref="G1:L1"/>
    <mergeCell ref="D16:E16"/>
    <mergeCell ref="D7:E7"/>
    <mergeCell ref="B19:C19"/>
    <mergeCell ref="B10:C10"/>
    <mergeCell ref="D4:E4"/>
    <mergeCell ref="D18:E18"/>
    <mergeCell ref="B9:C9"/>
    <mergeCell ref="D3:E3"/>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99.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CP-161</t>
        </is>
      </c>
      <c r="C1" s="13" t="inlineStr">
        <is>
          <t>Descripción / Funcionalidad</t>
        </is>
      </c>
      <c r="D1" s="18" t="inlineStr">
        <is>
          <t>HU-24 · Controlar al fantasma por el mapa</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30"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Con PowerUp activo y el fantasma quieto a 5 celdas, Pacman fue hacia él y lo comió en 1.0 s.</t>
        </is>
      </c>
      <c r="L4" s="11" t="n"/>
    </row>
    <row r="5" ht="30" customHeight="1">
      <c r="A5" s="13" t="inlineStr">
        <is>
          <t>Prioridad (Alta, Media, Baja)</t>
        </is>
      </c>
      <c r="B5" s="18" t="inlineStr">
        <is>
          <t>Media</t>
        </is>
      </c>
      <c r="C5" s="13" t="inlineStr">
        <is>
          <t>Técnica de diseño</t>
        </is>
      </c>
      <c r="D5" s="7" t="inlineStr">
        <is>
          <t>Partición de equivalencia</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42.59999999999999" customHeight="1">
      <c r="A9" s="8" t="n">
        <v>2</v>
      </c>
      <c r="B9" s="7" t="inlineStr">
        <is>
          <t>Partida en curso en modo GhostMan (GM), PowerUp de Pacman activo, fantasma del jugador a 8 celdas o menos.</t>
        </is>
      </c>
      <c r="C9" s="14" t="n"/>
      <c r="D9" s="18" t="inlineStr">
        <is>
          <t>Navegador:</t>
        </is>
      </c>
      <c r="E9" s="7" t="inlineStr">
        <is>
          <t>Chromium 141 de escritorio</t>
        </is>
      </c>
    </row>
    <row r="11">
      <c r="A11" s="13" t="inlineStr">
        <is>
          <t>Título del CP</t>
        </is>
      </c>
      <c r="B11" s="34" t="inlineStr">
        <is>
          <t>Pacman persigue fantasmas vulnerables (decisión 17)</t>
        </is>
      </c>
      <c r="C11" s="14" t="n"/>
      <c r="D11" s="14" t="n"/>
      <c r="E11" s="14" t="n"/>
    </row>
    <row r="12">
      <c r="A12" s="33" t="n"/>
      <c r="B12" s="14" t="n"/>
      <c r="C12" s="14" t="n"/>
      <c r="D12" s="14" t="n"/>
      <c r="E12" s="14" t="n"/>
    </row>
    <row r="14">
      <c r="A14" s="13" t="inlineStr">
        <is>
          <t>Historias de Usuario</t>
        </is>
      </c>
      <c r="B14" s="7" t="inlineStr">
        <is>
          <t>HU-24</t>
        </is>
      </c>
      <c r="C14" s="13" t="inlineStr">
        <is>
          <t>Épica</t>
        </is>
      </c>
      <c r="D14" s="7" t="inlineStr">
        <is>
          <t>E6 — Modo GhostMan</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16.2" customHeight="1">
      <c r="A18" s="8" t="n">
        <v>1</v>
      </c>
      <c r="B18" s="7" t="inlineStr">
        <is>
          <t>Dejar quieto al fantasma del jugador.</t>
        </is>
      </c>
      <c r="C18" s="14" t="n"/>
      <c r="D18" s="7" t="inlineStr">
        <is>
          <t>Pacman se dirige hacia él.</t>
        </is>
      </c>
      <c r="E18" s="14" t="n"/>
    </row>
    <row r="19" ht="16.2" customHeight="1">
      <c r="A19" s="8" t="n">
        <v>2</v>
      </c>
      <c r="B19" s="7" t="inlineStr">
        <is>
          <t>Esperar.</t>
        </is>
      </c>
      <c r="C19" s="14" t="n"/>
      <c r="D19" s="18" t="inlineStr">
        <is>
          <t>Pacman lo alcanza y lo come.</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00.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CP-162</t>
        </is>
      </c>
      <c r="C1" s="13" t="inlineStr">
        <is>
          <t>Descripción / Funcionalidad</t>
        </is>
      </c>
      <c r="D1" s="18" t="inlineStr">
        <is>
          <t>HU-24 · Controlar al fantasma por el mapa</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Fruta falsa a 3 celdas: Pacman fue por ella, la consumió y perdió una vida (3 → 2). (Fruta ubicada por script.)</t>
        </is>
      </c>
      <c r="L4" s="11" t="n"/>
    </row>
    <row r="5" ht="30" customHeight="1">
      <c r="A5" s="13" t="inlineStr">
        <is>
          <t>Prioridad (Alta, Media, Baja)</t>
        </is>
      </c>
      <c r="B5" s="18" t="inlineStr">
        <is>
          <t>Media</t>
        </is>
      </c>
      <c r="C5" s="13" t="inlineStr">
        <is>
          <t>Técnica de diseño</t>
        </is>
      </c>
      <c r="D5" s="7" t="inlineStr">
        <is>
          <t>Adivinación de errores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curso en modo GhostMan (GM) con el Naval, Pacman sin PowerUp.</t>
        </is>
      </c>
      <c r="C9" s="14" t="n"/>
      <c r="D9" s="18" t="inlineStr">
        <is>
          <t>Navegador:</t>
        </is>
      </c>
      <c r="E9" s="7" t="inlineStr">
        <is>
          <t>Chromium 141 de escritorio</t>
        </is>
      </c>
    </row>
    <row r="11">
      <c r="A11" s="13" t="inlineStr">
        <is>
          <t>Título del CP</t>
        </is>
      </c>
      <c r="B11" s="34" t="inlineStr">
        <is>
          <t>Pacman va hacia una fruta falsa cercana (decisión 17)</t>
        </is>
      </c>
      <c r="C11" s="14" t="n"/>
      <c r="D11" s="14" t="n"/>
      <c r="E11" s="14" t="n"/>
    </row>
    <row r="12">
      <c r="A12" s="33" t="n"/>
      <c r="B12" s="14" t="n"/>
      <c r="C12" s="14" t="n"/>
      <c r="D12" s="14" t="n"/>
      <c r="E12" s="14" t="n"/>
    </row>
    <row r="14">
      <c r="A14" s="13" t="inlineStr">
        <is>
          <t>Historias de Usuario</t>
        </is>
      </c>
      <c r="B14" s="7" t="inlineStr">
        <is>
          <t>HU-24</t>
        </is>
      </c>
      <c r="C14" s="13" t="inlineStr">
        <is>
          <t>Épica</t>
        </is>
      </c>
      <c r="D14" s="7" t="inlineStr">
        <is>
          <t>E6 — Modo GhostMan</t>
        </is>
      </c>
      <c r="E14" s="14" t="n"/>
    </row>
    <row r="15" ht="28" customHeight="1">
      <c r="A15" s="13" t="inlineStr">
        <is>
          <t>Estado Automatización</t>
        </is>
      </c>
      <c r="B15" s="7" t="inlineStr">
        <is>
          <t>Automatizado (script de navegador, Entrega 2)</t>
        </is>
      </c>
      <c r="C15" s="13" t="inlineStr">
        <is>
          <t>Camino feliz</t>
        </is>
      </c>
      <c r="D15" s="7" t="inlineStr">
        <is>
          <t>No</t>
        </is>
      </c>
      <c r="E15" s="14" t="n"/>
    </row>
    <row r="17">
      <c r="A17" s="13" t="inlineStr">
        <is>
          <t>Pasos #</t>
        </is>
      </c>
      <c r="B17" s="13" t="inlineStr">
        <is>
          <t>Detalle de pasos</t>
        </is>
      </c>
      <c r="C17" s="33" t="n"/>
      <c r="D17" s="13" t="inlineStr">
        <is>
          <t>Resultado esperado</t>
        </is>
      </c>
      <c r="E17" s="33" t="n"/>
    </row>
    <row r="18" ht="29.4" customHeight="1">
      <c r="A18" s="8" t="n">
        <v>1</v>
      </c>
      <c r="B18" s="7" t="inlineStr">
        <is>
          <t>Colocar una fruta falsa a 5 celdas o menos de Pacman.</t>
        </is>
      </c>
      <c r="C18" s="14" t="n"/>
      <c r="D18" s="7" t="inlineStr">
        <is>
          <t>Pacman se desvía hacia la fruta.</t>
        </is>
      </c>
      <c r="E18" s="14" t="n"/>
    </row>
    <row r="19" ht="29.4" customHeight="1">
      <c r="A19" s="8" t="n">
        <v>2</v>
      </c>
      <c r="B19" s="7" t="inlineStr">
        <is>
          <t>Esperar.</t>
        </is>
      </c>
      <c r="C19" s="14" t="n"/>
      <c r="D19" s="18" t="inlineStr">
        <is>
          <t>Pacman la consume y pierde una vida: no distingue la falsa de la real.</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01.xml><?xml version="1.0" encoding="utf-8"?>
<worksheet xmlns="http://schemas.openxmlformats.org/spreadsheetml/2006/main">
  <sheetPr>
    <outlinePr summaryBelow="1" summaryRight="1"/>
    <pageSetUpPr fitToPage="1"/>
  </sheetPr>
  <dimension ref="A1:L20"/>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inlineStr">
        <is>
          <t>CP-163</t>
        </is>
      </c>
      <c r="C1" s="13" t="inlineStr">
        <is>
          <t>Descripción / Funcionalidad</t>
        </is>
      </c>
      <c r="D1" s="18" t="inlineStr">
        <is>
          <t>HU-19 · Cerrar la partida y volver a jugar</t>
        </is>
      </c>
      <c r="E1" s="14" t="n"/>
      <c r="G1" s="30" t="inlineStr">
        <is>
          <t>Registro de ejecución</t>
        </is>
      </c>
      <c r="H1" s="5" t="n"/>
      <c r="I1" s="5" t="n"/>
      <c r="J1" s="5" t="n"/>
      <c r="K1" s="5" t="n"/>
      <c r="L1" s="5" t="n"/>
    </row>
    <row r="2">
      <c r="A2" s="13" t="inlineStr">
        <is>
          <t>Creado por</t>
        </is>
      </c>
      <c r="B2" s="18" t="inlineStr">
        <is>
          <t>Luzzi</t>
        </is>
      </c>
      <c r="C2" s="13" t="inlineStr">
        <is>
          <t>Versión</t>
        </is>
      </c>
      <c r="D2" s="18" t="inlineStr">
        <is>
          <t>1</t>
        </is>
      </c>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f>IFERROR(IF(INDEX('Reporte de ejecución - Entrega2'!$I$4:$I$103,MATCH($B$1,'Reporte de ejecución - Entrega2'!$A$4:$A$103,0))="","Sin ejecutar",INDEX('Reporte de ejecución - Entrega2'!$I$4:$I$103,MATCH($B$1,'Reporte de ejecución - Entrega2'!$A$4:$A$103,0))),"Sin ejecutar")</f>
        <v/>
      </c>
      <c r="E3" s="14" t="n"/>
      <c r="G3" s="9" t="inlineStr">
        <is>
          <t>Ciclo 1</t>
        </is>
      </c>
      <c r="H3" s="15" t="n"/>
      <c r="I3" s="11" t="n"/>
      <c r="J3" s="11" t="n"/>
      <c r="K3" s="11" t="n"/>
      <c r="L3" s="11" t="n"/>
    </row>
    <row r="4" ht="42.59999999999999" customHeight="1">
      <c r="C4" s="13" t="inlineStr">
        <is>
          <t>Estado en la Entrega 1</t>
        </is>
      </c>
      <c r="D4" s="7" t="inlineStr">
        <is>
          <t>No existía (caso nuevo de la V2)</t>
        </is>
      </c>
      <c r="E4" s="14" t="n"/>
      <c r="G4" s="9" t="inlineStr">
        <is>
          <t>Ciclo 2</t>
        </is>
      </c>
      <c r="H4" s="15" t="n">
        <v>46307</v>
      </c>
      <c r="I4" s="11" t="inlineStr">
        <is>
          <t>Luzzi</t>
        </is>
      </c>
      <c r="J4" s="11" t="inlineStr">
        <is>
          <t>Aprobado</t>
        </is>
      </c>
      <c r="K4" s="11" t="inlineStr">
        <is>
          <t>«Volver a jugar» repitió modo GhostMan con el Saltarín, nivel 1, 3 vidas de Pacman, puntaje 0; «Menú principal» volvió al menú.</t>
        </is>
      </c>
      <c r="L4" s="11" t="n"/>
    </row>
    <row r="5" ht="30" customHeight="1">
      <c r="A5" s="13" t="inlineStr">
        <is>
          <t>Prioridad (Alta, Media, Baja)</t>
        </is>
      </c>
      <c r="B5" s="18" t="inlineStr">
        <is>
          <t>Alta</t>
        </is>
      </c>
      <c r="C5" s="13" t="inlineStr">
        <is>
          <t>Técnica de diseño</t>
        </is>
      </c>
      <c r="D5" s="7" t="inlineStr">
        <is>
          <t>Transición de estados</t>
        </is>
      </c>
      <c r="E5" s="14" t="n"/>
      <c r="G5" s="9" t="inlineStr">
        <is>
          <t>Ciclo 3</t>
        </is>
      </c>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is>
          <t>Abrir la aplicación en un navegador de escritorio.</t>
        </is>
      </c>
      <c r="C8" s="14" t="n"/>
      <c r="D8" s="18" t="inlineStr">
        <is>
          <t>Entorno:</t>
        </is>
      </c>
      <c r="E8" s="7" t="inlineStr">
        <is>
          <t>Build del commit 7ec70df (V2)</t>
        </is>
      </c>
    </row>
    <row r="9" ht="29.4" customHeight="1">
      <c r="A9" s="8" t="n">
        <v>2</v>
      </c>
      <c r="B9" s="7" t="inlineStr">
        <is>
          <t>Partida en modo GhostMan con el Saltarín, terminada en Game Over.</t>
        </is>
      </c>
      <c r="C9" s="14" t="n"/>
      <c r="D9" s="18" t="inlineStr">
        <is>
          <t>Navegador:</t>
        </is>
      </c>
      <c r="E9" s="7" t="inlineStr">
        <is>
          <t>Chromium 141 de escritorio</t>
        </is>
      </c>
    </row>
    <row r="11">
      <c r="A11" s="13" t="inlineStr">
        <is>
          <t>Título del CP</t>
        </is>
      </c>
      <c r="B11" s="34" t="inlineStr">
        <is>
          <t>Volver a jugar y Menú principal (decisión 29)</t>
        </is>
      </c>
      <c r="C11" s="14" t="n"/>
      <c r="D11" s="14" t="n"/>
      <c r="E11" s="14" t="n"/>
    </row>
    <row r="12">
      <c r="A12" s="33" t="n"/>
      <c r="B12" s="14" t="n"/>
      <c r="C12" s="14" t="n"/>
      <c r="D12" s="14" t="n"/>
      <c r="E12" s="14" t="n"/>
    </row>
    <row r="14">
      <c r="A14" s="13" t="inlineStr">
        <is>
          <t>Historias de Usuario</t>
        </is>
      </c>
      <c r="B14" s="7" t="inlineStr">
        <is>
          <t>HU-19</t>
        </is>
      </c>
      <c r="C14" s="13" t="inlineStr">
        <is>
          <t>Épica</t>
        </is>
      </c>
      <c r="D14" s="7" t="inlineStr">
        <is>
          <t>E6 — Modo GhostMan</t>
        </is>
      </c>
      <c r="E14" s="14" t="n"/>
    </row>
    <row r="15" ht="28" customHeight="1">
      <c r="A15" s="13" t="inlineStr">
        <is>
          <t>Estado Automatización</t>
        </is>
      </c>
      <c r="B15" s="7" t="inlineStr">
        <is>
          <t>Automatizado (script de navegador, Entrega 2)</t>
        </is>
      </c>
      <c r="C15" s="13" t="inlineStr">
        <is>
          <t>Camino feliz</t>
        </is>
      </c>
      <c r="D15" s="7" t="inlineStr">
        <is>
          <t>Sí</t>
        </is>
      </c>
      <c r="E15" s="14" t="n"/>
    </row>
    <row r="17">
      <c r="A17" s="13" t="inlineStr">
        <is>
          <t>Pasos #</t>
        </is>
      </c>
      <c r="B17" s="13" t="inlineStr">
        <is>
          <t>Detalle de pasos</t>
        </is>
      </c>
      <c r="C17" s="33" t="n"/>
      <c r="D17" s="13" t="inlineStr">
        <is>
          <t>Resultado esperado</t>
        </is>
      </c>
      <c r="E17" s="33" t="n"/>
    </row>
    <row r="18" ht="42.59999999999999" customHeight="1">
      <c r="A18" s="8" t="n">
        <v>1</v>
      </c>
      <c r="B18" s="7" t="inlineStr">
        <is>
          <t>Presionar «Volver a jugar».</t>
        </is>
      </c>
      <c r="C18" s="14" t="n"/>
      <c r="D18" s="7" t="inlineStr">
        <is>
          <t>Empieza una partida nueva en modo GhostMan con el Saltarín, desde el nivel 1, con 3 vidas de Pacman y puntaje 0.</t>
        </is>
      </c>
      <c r="E18" s="14" t="n"/>
    </row>
    <row r="19" ht="16.2" customHeight="1">
      <c r="A19" s="8" t="n">
        <v>2</v>
      </c>
      <c r="B19" s="7" t="inlineStr">
        <is>
          <t>Terminar esa partida y presionar «Menú principal».</t>
        </is>
      </c>
      <c r="C19" s="14" t="n"/>
      <c r="D19" s="18" t="inlineStr">
        <is>
          <t>Se vuelve al menú principal.</t>
        </is>
      </c>
      <c r="E19" s="14" t="n"/>
    </row>
    <row r="20" ht="24" customHeight="1">
      <c r="A20" s="21" t="inlineStr">
        <is>
          <t>El caso se aprueba solo si se cumple todo el resultado esperado del último paso (en negrita); si cualquier parte no se cumple, se registra como Fallido.</t>
        </is>
      </c>
    </row>
  </sheetData>
  <mergeCells count="23">
    <mergeCell ref="B7:C7"/>
    <mergeCell ref="D1:E1"/>
    <mergeCell ref="D19:E19"/>
    <mergeCell ref="B11:E12"/>
    <mergeCell ref="B18:C18"/>
    <mergeCell ref="D2:E2"/>
    <mergeCell ref="B17:C17"/>
    <mergeCell ref="B8:C8"/>
    <mergeCell ref="D17:E17"/>
    <mergeCell ref="A3:B3"/>
    <mergeCell ref="G1:L1"/>
    <mergeCell ref="D7:E7"/>
    <mergeCell ref="B19:C19"/>
    <mergeCell ref="D4:E4"/>
    <mergeCell ref="D18:E18"/>
    <mergeCell ref="B9:C9"/>
    <mergeCell ref="D3:E3"/>
    <mergeCell ref="G6:L7"/>
    <mergeCell ref="A20:E20"/>
    <mergeCell ref="D15:E15"/>
    <mergeCell ref="D5:E5"/>
    <mergeCell ref="D14:E14"/>
    <mergeCell ref="A11:A12"/>
  </mergeCells>
  <dataValidations count="1">
    <dataValidation sqref="J3:J5" showDropDown="0" showInputMessage="0" showErrorMessage="0" allowBlank="1" type="list">
      <formula1>"Aprobado,Fallido,Bloqueado,No ejecutado,No aplica"</formula1>
    </dataValidation>
  </dataValidations>
  <hyperlinks>
    <hyperlink xmlns:r="http://schemas.openxmlformats.org/officeDocument/2006/relationships" ref="A3" r:id="rId1"/>
  </hyperlinks>
  <pageMargins left="0.75" right="0.75" top="1" bottom="1" header="0.5" footer="0.5"/>
  <pageSetup orientation="landscape" fitToHeight="0" fitToWidth="1"/>
</worksheet>
</file>

<file path=xl/worksheets/sheet102.xml><?xml version="1.0" encoding="utf-8"?>
<worksheet xmlns="http://schemas.openxmlformats.org/spreadsheetml/2006/main">
  <sheetPr>
    <tabColor rgb="00C00000"/>
    <outlinePr summaryBelow="1" summaryRight="1"/>
    <pageSetUpPr/>
  </sheetPr>
  <dimension ref="A1:B22"/>
  <sheetViews>
    <sheetView workbookViewId="0">
      <selection activeCell="A1" sqref="A1"/>
    </sheetView>
  </sheetViews>
  <sheetFormatPr baseColWidth="8" defaultRowHeight="15"/>
  <cols>
    <col width="26" customWidth="1" min="1" max="1"/>
    <col width="90" customWidth="1" min="2" max="2"/>
  </cols>
  <sheetData>
    <row r="1">
      <c r="A1" s="37" t="inlineStr">
        <is>
          <t>Reporte de defecto</t>
        </is>
      </c>
    </row>
    <row r="2">
      <c r="A2" s="2" t="inlineStr">
        <is>
          <t>Detalle del defecto (sección 13.3). La fila del «Registro de defectos» resume estos datos.</t>
        </is>
      </c>
    </row>
    <row r="4" ht="16.2" customHeight="1">
      <c r="A4" s="13" t="inlineStr">
        <is>
          <t>ID</t>
        </is>
      </c>
      <c r="B4" s="11" t="inlineStr">
        <is>
          <t>DEF-001</t>
        </is>
      </c>
    </row>
    <row r="5" ht="29.4" customHeight="1">
      <c r="A5" s="13" t="inlineStr">
        <is>
          <t>Título</t>
        </is>
      </c>
      <c r="B5" s="11" t="inlineStr">
        <is>
          <t>El contador de vidas se muestra arriba a la derecha como círculos amarillos en lugar de íconos de Pacman abajo a la izquierda</t>
        </is>
      </c>
    </row>
    <row r="6" ht="16.2" customHeight="1">
      <c r="A6" s="13" t="inlineStr">
        <is>
          <t>Caso de prueba</t>
        </is>
      </c>
      <c r="B6" s="11" t="inlineStr">
        <is>
          <t>CP-034 - Presentación del contador de vidas</t>
        </is>
      </c>
    </row>
    <row r="7" ht="16.2" customHeight="1">
      <c r="A7" s="13" t="inlineStr">
        <is>
          <t>Historia de usuario</t>
        </is>
      </c>
      <c r="B7" s="11" t="inlineStr">
        <is>
          <t>HU-09 - «Las vidas se muestran como íconos de Pacman abajo a la izquierda»</t>
        </is>
      </c>
    </row>
    <row r="8" ht="16.2" customHeight="1">
      <c r="A8" s="13" t="inlineStr">
        <is>
          <t>Severidad</t>
        </is>
      </c>
      <c r="B8" s="11" t="inlineStr">
        <is>
          <t>Menor</t>
        </is>
      </c>
    </row>
    <row r="9" ht="16.2" customHeight="1">
      <c r="A9" s="13" t="inlineStr">
        <is>
          <t>Prioridad</t>
        </is>
      </c>
      <c r="B9" s="11" t="inlineStr">
        <is>
          <t>Media</t>
        </is>
      </c>
    </row>
    <row r="10" ht="16.2" customHeight="1">
      <c r="A10" s="13" t="inlineStr">
        <is>
          <t>Estado</t>
        </is>
      </c>
      <c r="B10" s="11" t="inlineStr">
        <is>
          <t>Verificado</t>
        </is>
      </c>
    </row>
    <row r="11" ht="16.2" customHeight="1">
      <c r="A11" s="13" t="inlineStr">
        <is>
          <t>Versión / commit</t>
        </is>
      </c>
      <c r="B11" s="11" t="inlineStr">
        <is>
          <t>V1 - commit a completar (corregido en V2 - 7ec70df)</t>
        </is>
      </c>
    </row>
    <row r="12" ht="16.2" customHeight="1">
      <c r="A12" s="13" t="inlineStr">
        <is>
          <t>Entorno</t>
        </is>
      </c>
      <c r="B12" s="11" t="inlineStr">
        <is>
          <t>Chrome 154 escritorio (macOS), 1291 × 693</t>
        </is>
      </c>
    </row>
    <row r="13" ht="16.2" customHeight="1">
      <c r="A13" s="13" t="inlineStr">
        <is>
          <t>Precondiciones</t>
        </is>
      </c>
      <c r="B13" s="11" t="inlineStr">
        <is>
          <t>Partida recién iniciada en modo Pacman.</t>
        </is>
      </c>
    </row>
    <row r="14" ht="42.59999999999999" customHeight="1">
      <c r="A14" s="13" t="inlineStr">
        <is>
          <t>Pasos para reproducir</t>
        </is>
      </c>
      <c r="B14" s="11" t="inlineStr">
        <is>
          <t>1) Abrir la aplicación.
2) Iniciar una partida en modo Pacman.
3) Observar el extremo inferior izquierdo de la pantalla.</t>
        </is>
      </c>
    </row>
    <row r="15" ht="29.4" customHeight="1">
      <c r="A15" s="13" t="inlineStr">
        <is>
          <t>Resultado esperado</t>
        </is>
      </c>
      <c r="B15" s="11" t="inlineStr">
        <is>
          <t>Se muestran 3 íconos de Pacman como contador de vidas, abajo a la izquierda (HU-09).</t>
        </is>
      </c>
    </row>
    <row r="16" ht="29.4" customHeight="1">
      <c r="A16" s="13" t="inlineStr">
        <is>
          <t>Resultado obtenido</t>
        </is>
      </c>
      <c r="B16" s="11" t="inlineStr">
        <is>
          <t>En la V1: el contador está arriba a la derecha, como círculos amarillos; abajo a la izquierda no hay ningún indicador.</t>
        </is>
      </c>
    </row>
    <row r="17" ht="16.2" customHeight="1">
      <c r="A17" s="13" t="inlineStr">
        <is>
          <t>Reproducibilidad</t>
        </is>
      </c>
      <c r="B17" s="11" t="inlineStr">
        <is>
          <t>Siempre</t>
        </is>
      </c>
    </row>
    <row r="18" ht="16.2" customHeight="1">
      <c r="A18" s="13" t="inlineStr">
        <is>
          <t>Evidencia</t>
        </is>
      </c>
      <c r="B18" s="11" t="inlineStr">
        <is>
          <t>Entrega 1: captura del HUD de la V1. Entrega 2: shots/CONF-DEF-001.png (Anexo B).</t>
        </is>
      </c>
    </row>
    <row r="19" ht="16.2" customHeight="1">
      <c r="A19" s="13" t="inlineStr">
        <is>
          <t>Reportado por</t>
        </is>
      </c>
      <c r="B19" s="11" t="inlineStr">
        <is>
          <t>Rodriguez Castro</t>
        </is>
      </c>
    </row>
    <row r="20" ht="16.2" customHeight="1">
      <c r="A20" s="13" t="inlineStr">
        <is>
          <t>Confirmado por</t>
        </is>
      </c>
      <c r="B20" s="11" t="inlineStr">
        <is>
          <t>Luzzi</t>
        </is>
      </c>
    </row>
    <row r="21" ht="16.2" customHeight="1">
      <c r="A21" s="13" t="inlineStr">
        <is>
          <t>Fecha</t>
        </is>
      </c>
      <c r="B21" s="15" t="n">
        <v>46294</v>
      </c>
    </row>
    <row r="22" ht="42.59999999999999" customHeight="1">
      <c r="A22" s="13" t="inlineStr">
        <is>
          <t>Confirmación (Entrega 2)</t>
        </is>
      </c>
      <c r="B22" s="11" t="inlineStr">
        <is>
          <t>12/10/2026, Luzzi, commit 7ec70df, Chromium 141: barra «Vidas» debajo del mapa, abajo a la izquierda, con 3 íconos de Pacman (sin número); al perder una vida quedan 2. Resultado: Aprobado. Estado: Verificado.</t>
        </is>
      </c>
    </row>
  </sheetData>
  <mergeCells count="2">
    <mergeCell ref="A2:B2"/>
    <mergeCell ref="A1:B1"/>
  </mergeCells>
  <pageMargins left="0.75" right="0.75" top="1" bottom="1" header="0.5" footer="0.5"/>
</worksheet>
</file>

<file path=xl/worksheets/sheet103.xml><?xml version="1.0" encoding="utf-8"?>
<worksheet xmlns="http://schemas.openxmlformats.org/spreadsheetml/2006/main">
  <sheetPr>
    <tabColor rgb="00C00000"/>
    <outlinePr summaryBelow="1" summaryRight="1"/>
    <pageSetUpPr/>
  </sheetPr>
  <dimension ref="A1:B22"/>
  <sheetViews>
    <sheetView workbookViewId="0">
      <selection activeCell="A1" sqref="A1"/>
    </sheetView>
  </sheetViews>
  <sheetFormatPr baseColWidth="8" defaultRowHeight="15"/>
  <cols>
    <col width="26" customWidth="1" min="1" max="1"/>
    <col width="90" customWidth="1" min="2" max="2"/>
  </cols>
  <sheetData>
    <row r="1">
      <c r="A1" s="37" t="inlineStr">
        <is>
          <t>Reporte de defecto</t>
        </is>
      </c>
    </row>
    <row r="2">
      <c r="A2" s="2" t="inlineStr">
        <is>
          <t>Detalle del defecto (sección 13.3). La fila del «Registro de defectos» resume estos datos.</t>
        </is>
      </c>
    </row>
    <row r="4" ht="16.2" customHeight="1">
      <c r="A4" s="13" t="inlineStr">
        <is>
          <t>ID</t>
        </is>
      </c>
      <c r="B4" s="11" t="inlineStr">
        <is>
          <t>DEF-002</t>
        </is>
      </c>
    </row>
    <row r="5" ht="29.4" customHeight="1">
      <c r="A5" s="13" t="inlineStr">
        <is>
          <t>Título</t>
        </is>
      </c>
      <c r="B5" s="11" t="inlineStr">
        <is>
          <t>El menú principal elige la opción que tiene el puntero encima al cargar la página, aunque el mouse no se haya movido</t>
        </is>
      </c>
    </row>
    <row r="6" ht="16.2" customHeight="1">
      <c r="A6" s="13" t="inlineStr">
        <is>
          <t>Caso de prueba</t>
        </is>
      </c>
      <c r="B6" s="11" t="inlineStr">
        <is>
          <t>Exploratoria (detectado por scripts/verify/ui/inc10-menu-carrusel.js)</t>
        </is>
      </c>
    </row>
    <row r="7" ht="16.2" customHeight="1">
      <c r="A7" s="13" t="inlineStr">
        <is>
          <t>Historia de usuario</t>
        </is>
      </c>
      <c r="B7" s="11" t="inlineStr">
        <is>
          <t>HU-22 - «Por defecto está seleccionado el Modo PacMan»</t>
        </is>
      </c>
    </row>
    <row r="8" ht="16.2" customHeight="1">
      <c r="A8" s="13" t="inlineStr">
        <is>
          <t>Severidad</t>
        </is>
      </c>
      <c r="B8" s="11" t="inlineStr">
        <is>
          <t>Menor</t>
        </is>
      </c>
    </row>
    <row r="9" ht="16.2" customHeight="1">
      <c r="A9" s="13" t="inlineStr">
        <is>
          <t>Prioridad</t>
        </is>
      </c>
      <c r="B9" s="11" t="inlineStr">
        <is>
          <t>Media</t>
        </is>
      </c>
    </row>
    <row r="10" ht="16.2" customHeight="1">
      <c r="A10" s="13" t="inlineStr">
        <is>
          <t>Estado</t>
        </is>
      </c>
      <c r="B10" s="11" t="inlineStr">
        <is>
          <t>Corregido</t>
        </is>
      </c>
    </row>
    <row r="11" ht="16.2" customHeight="1">
      <c r="A11" s="13" t="inlineStr">
        <is>
          <t>Versión / commit</t>
        </is>
      </c>
      <c r="B11" s="11" t="inlineStr">
        <is>
          <t>V2 - b451d52 (corregido en 65df127)</t>
        </is>
      </c>
    </row>
    <row r="12" ht="16.2" customHeight="1">
      <c r="A12" s="13" t="inlineStr">
        <is>
          <t>Entorno</t>
        </is>
      </c>
      <c r="B12" s="11" t="inlineStr">
        <is>
          <t>Chromium sin interfaz (Linux), 700 × 600</t>
        </is>
      </c>
    </row>
    <row r="13" ht="16.2" customHeight="1">
      <c r="A13" s="13" t="inlineStr">
        <is>
          <t>Precondiciones</t>
        </is>
      </c>
      <c r="B13" s="11" t="inlineStr">
        <is>
          <t>Menú principal en pantalla; el puntero del mouse queda sobre «Modo GhostMan».</t>
        </is>
      </c>
    </row>
    <row r="14" ht="42.59999999999999" customHeight="1">
      <c r="A14" s="13" t="inlineStr">
        <is>
          <t>Pasos para reproducir</t>
        </is>
      </c>
      <c r="B14" s="11" t="inlineStr">
        <is>
          <t>1) Elegir «Modo GhostMan» con un clic.
2) Volver a cargar la página sin mover el mouse.
3) Presionar Enter.</t>
        </is>
      </c>
    </row>
    <row r="15" ht="29.4" customHeight="1">
      <c r="A15" s="13" t="inlineStr">
        <is>
          <t>Resultado esperado</t>
        </is>
      </c>
      <c r="B15" s="11" t="inlineStr">
        <is>
          <t>Al cargar, la opción seleccionada es «Modo PacMan» y Enter inicia una partida en modo Pacman.</t>
        </is>
      </c>
    </row>
    <row r="16" ht="29.4" customHeight="1">
      <c r="A16" s="13" t="inlineStr">
        <is>
          <t>Resultado obtenido</t>
        </is>
      </c>
      <c r="B16" s="11" t="inlineStr">
        <is>
          <t>Al cargar, la opción seleccionada pasa a «Modo GhostMan» (la que tiene el puntero encima) y Enter abre el carrusel.</t>
        </is>
      </c>
    </row>
    <row r="17" ht="16.2" customHeight="1">
      <c r="A17" s="13" t="inlineStr">
        <is>
          <t>Reproducibilidad</t>
        </is>
      </c>
      <c r="B17" s="11" t="inlineStr">
        <is>
          <t>Siempre</t>
        </is>
      </c>
    </row>
    <row r="18" ht="16.2" customHeight="1">
      <c r="A18" s="13" t="inlineStr">
        <is>
          <t>Evidencia</t>
        </is>
      </c>
      <c r="B18" s="11" t="inlineStr">
        <is>
          <t>Salida del script inc10-menu-carrusel.js (Anexo B).</t>
        </is>
      </c>
    </row>
    <row r="19" ht="16.2" customHeight="1">
      <c r="A19" s="13" t="inlineStr">
        <is>
          <t>Reportado por</t>
        </is>
      </c>
      <c r="B19" s="11" t="inlineStr">
        <is>
          <t>Luzzi</t>
        </is>
      </c>
    </row>
    <row r="20" ht="16.2" customHeight="1">
      <c r="A20" s="13" t="inlineStr">
        <is>
          <t>Confirmado por</t>
        </is>
      </c>
      <c r="B20" s="11" t="n"/>
    </row>
    <row r="21" ht="16.2" customHeight="1">
      <c r="A21" s="13" t="inlineStr">
        <is>
          <t>Fecha</t>
        </is>
      </c>
      <c r="B21" s="15" t="n">
        <v>46307</v>
      </c>
    </row>
    <row r="22" ht="55.8" customHeight="1">
      <c r="A22" s="13" t="inlineStr">
        <is>
          <t>Confirmación (Entrega 2)</t>
        </is>
      </c>
      <c r="B22" s="11" t="inlineStr">
        <is>
          <t>12/10/2026, Luzzi, commit 7ec70df: tras el clic en «Modo GhostMan» y la recarga con el puntero quieto, la seleccionada es «Modo PacMan» y Enter inicia el modo Pacman. Resultado: Aprobado. Queda en Corregido hasta que otro integrante lo confirme y lo verifique.</t>
        </is>
      </c>
    </row>
  </sheetData>
  <mergeCells count="2">
    <mergeCell ref="A2:B2"/>
    <mergeCell ref="A1:B1"/>
  </mergeCells>
  <pageMargins left="0.75" right="0.75" top="1" bottom="1" header="0.5" footer="0.5"/>
</worksheet>
</file>

<file path=xl/worksheets/sheet104.xml><?xml version="1.0" encoding="utf-8"?>
<worksheet xmlns="http://schemas.openxmlformats.org/spreadsheetml/2006/main">
  <sheetPr>
    <tabColor rgb="00C00000"/>
    <outlinePr summaryBelow="1" summaryRight="1"/>
    <pageSetUpPr/>
  </sheetPr>
  <dimension ref="A1:B22"/>
  <sheetViews>
    <sheetView workbookViewId="0">
      <selection activeCell="A1" sqref="A1"/>
    </sheetView>
  </sheetViews>
  <sheetFormatPr baseColWidth="8" defaultRowHeight="15"/>
  <cols>
    <col width="26" customWidth="1" min="1" max="1"/>
    <col width="90" customWidth="1" min="2" max="2"/>
  </cols>
  <sheetData>
    <row r="1">
      <c r="A1" s="37" t="inlineStr">
        <is>
          <t>Reporte de defecto</t>
        </is>
      </c>
    </row>
    <row r="2">
      <c r="A2" s="2" t="inlineStr">
        <is>
          <t>Detalle del defecto (sección 13.3). La fila del «Registro de defectos» resume estos datos.</t>
        </is>
      </c>
    </row>
    <row r="4" ht="16.2" customHeight="1">
      <c r="A4" s="13" t="inlineStr">
        <is>
          <t>ID</t>
        </is>
      </c>
      <c r="B4" s="11" t="inlineStr">
        <is>
          <t>DEF-003</t>
        </is>
      </c>
    </row>
    <row r="5" ht="29.4" customHeight="1">
      <c r="A5" s="13" t="inlineStr">
        <is>
          <t>Título</t>
        </is>
      </c>
      <c r="B5" s="11" t="inlineStr">
        <is>
          <t>En modo GhostMan, el toque de un fantasma de la IA no le descuenta una vida a Pacman sin PowerUp</t>
        </is>
      </c>
    </row>
    <row r="6" ht="16.2" customHeight="1">
      <c r="A6" s="13" t="inlineStr">
        <is>
          <t>Caso de prueba</t>
        </is>
      </c>
      <c r="B6" s="11" t="inlineStr">
        <is>
          <t>Exploratoria (prueba manual de Tsai)</t>
        </is>
      </c>
    </row>
    <row r="7" ht="16.2" customHeight="1">
      <c r="A7" s="13" t="inlineStr">
        <is>
          <t>Historia de usuario</t>
        </is>
      </c>
      <c r="B7" s="11" t="inlineStr">
        <is>
          <t>HU-25 - «Solo cuentan las derrotas producidas por el fantasma del jugador»</t>
        </is>
      </c>
    </row>
    <row r="8" ht="16.2" customHeight="1">
      <c r="A8" s="13" t="inlineStr">
        <is>
          <t>Severidad</t>
        </is>
      </c>
      <c r="B8" s="11" t="inlineStr">
        <is>
          <t>Mayor</t>
        </is>
      </c>
    </row>
    <row r="9" ht="16.2" customHeight="1">
      <c r="A9" s="13" t="inlineStr">
        <is>
          <t>Prioridad</t>
        </is>
      </c>
      <c r="B9" s="11" t="inlineStr">
        <is>
          <t>Media</t>
        </is>
      </c>
    </row>
    <row r="10" ht="16.2" customHeight="1">
      <c r="A10" s="13" t="inlineStr">
        <is>
          <t>Estado</t>
        </is>
      </c>
      <c r="B10" s="11" t="inlineStr">
        <is>
          <t>Rechazado</t>
        </is>
      </c>
    </row>
    <row r="11" ht="16.2" customHeight="1">
      <c r="A11" s="13" t="inlineStr">
        <is>
          <t>Versión / commit</t>
        </is>
      </c>
      <c r="B11" s="11" t="inlineStr">
        <is>
          <t>V2 - 7ec70df</t>
        </is>
      </c>
    </row>
    <row r="12" ht="16.2" customHeight="1">
      <c r="A12" s="13" t="inlineStr">
        <is>
          <t>Entorno</t>
        </is>
      </c>
      <c r="B12" s="11" t="inlineStr">
        <is>
          <t>Completar (navegador y resolución con los que probó Tsai)</t>
        </is>
      </c>
    </row>
    <row r="13" ht="16.2" customHeight="1">
      <c r="A13" s="13" t="inlineStr">
        <is>
          <t>Precondiciones</t>
        </is>
      </c>
      <c r="B13" s="11" t="inlineStr">
        <is>
          <t>Partida en modo GhostMan, Pacman sin PowerUp.</t>
        </is>
      </c>
    </row>
    <row r="14" ht="42.59999999999999" customHeight="1">
      <c r="A14" s="13" t="inlineStr">
        <is>
          <t>Pasos para reproducir</t>
        </is>
      </c>
      <c r="B14" s="11" t="inlineStr">
        <is>
          <t>1) Iniciar una partida en modo GhostMan con cualquier fantasma.
2) Esperar a que un fantasma de la IA alcance a Pacman sin PowerUp activo.
3) Observar el contador de vidas de Pacman.</t>
        </is>
      </c>
    </row>
    <row r="15" ht="42.59999999999999" customHeight="1">
      <c r="A15" s="13" t="inlineStr">
        <is>
          <t>Resultado esperado</t>
        </is>
      </c>
      <c r="B15" s="11" t="inlineStr">
        <is>
          <t>Según el reporte: Pacman pierde una vida. Según la especificación (HU-25 y decisión 19): Pacman vuelve a su posición inicial sin perder una vida; solo el fantasma del jugador descuenta vidas.</t>
        </is>
      </c>
    </row>
    <row r="16" ht="16.2" customHeight="1">
      <c r="A16" s="13" t="inlineStr">
        <is>
          <t>Resultado obtenido</t>
        </is>
      </c>
      <c r="B16" s="11" t="inlineStr">
        <is>
          <t>Pacman vuelve a su posición inicial y el contador de vidas no cambia.</t>
        </is>
      </c>
    </row>
    <row r="17" ht="16.2" customHeight="1">
      <c r="A17" s="13" t="inlineStr">
        <is>
          <t>Reproducibilidad</t>
        </is>
      </c>
      <c r="B17" s="11" t="inlineStr">
        <is>
          <t>Siempre</t>
        </is>
      </c>
    </row>
    <row r="18" ht="29.4" customHeight="1">
      <c r="A18" s="13" t="inlineStr">
        <is>
          <t>Evidencia</t>
        </is>
      </c>
      <c r="B18" s="11" t="inlineStr">
        <is>
          <t>CP-144 (ciclo 2): «tras el toque del fantasma de la IA volvió a su posición inicial (7,8) sin perder vidas (3 → 3)».</t>
        </is>
      </c>
    </row>
    <row r="19" ht="16.2" customHeight="1">
      <c r="A19" s="13" t="inlineStr">
        <is>
          <t>Reportado por</t>
        </is>
      </c>
      <c r="B19" s="11" t="inlineStr">
        <is>
          <t>Tsai</t>
        </is>
      </c>
    </row>
    <row r="20" ht="16.2" customHeight="1">
      <c r="A20" s="13" t="inlineStr">
        <is>
          <t>Confirmado por</t>
        </is>
      </c>
      <c r="B20" s="11" t="inlineStr">
        <is>
          <t>Luzzi</t>
        </is>
      </c>
    </row>
    <row r="21" ht="16.2" customHeight="1">
      <c r="A21" s="13" t="inlineStr">
        <is>
          <t>Fecha</t>
        </is>
      </c>
      <c r="B21" s="15" t="n">
        <v>46307</v>
      </c>
    </row>
    <row r="22" ht="29.4" customHeight="1">
      <c r="A22" s="13" t="inlineStr">
        <is>
          <t>Confirmación (Entrega 2)</t>
        </is>
      </c>
      <c r="B22" s="11" t="inlineStr">
        <is>
          <t>No aplica: rechazado en el triaje por funcionar según la especificación (HU-25, decisión 19). Sin cambios de código.</t>
        </is>
      </c>
    </row>
  </sheetData>
  <mergeCells count="2">
    <mergeCell ref="A2:B2"/>
    <mergeCell ref="A1:B1"/>
  </mergeCells>
  <pageMargins left="0.75" right="0.75" top="1" bottom="1" header="0.5" footer="0.5"/>
</worksheet>
</file>

<file path=xl/worksheets/sheet105.xml><?xml version="1.0" encoding="utf-8"?>
<worksheet xmlns="http://schemas.openxmlformats.org/spreadsheetml/2006/main">
  <sheetPr>
    <tabColor rgb="00FFC000"/>
    <outlinePr summaryBelow="1" summaryRight="1"/>
    <pageSetUpPr fitToPage="1"/>
  </sheetPr>
  <dimension ref="A1:L22"/>
  <sheetViews>
    <sheetView workbookViewId="0">
      <selection activeCell="A1" sqref="A1"/>
    </sheetView>
  </sheetViews>
  <sheetFormatPr baseColWidth="8" defaultRowHeight="15"/>
  <cols>
    <col width="17" customWidth="1" min="1" max="1"/>
    <col width="30" customWidth="1" min="2" max="2"/>
    <col width="26" customWidth="1" min="3" max="3"/>
    <col width="24" customWidth="1" min="4" max="4"/>
    <col width="34" customWidth="1" min="5" max="5"/>
    <col width="2.5" customWidth="1" min="6" max="6"/>
    <col width="12" customWidth="1" min="7" max="7"/>
    <col width="12" customWidth="1" min="8" max="8"/>
    <col width="14" customWidth="1" min="9" max="9"/>
    <col width="12" customWidth="1" min="10" max="10"/>
    <col width="50" customWidth="1" min="11" max="11"/>
    <col width="10" customWidth="1" min="12" max="12"/>
  </cols>
  <sheetData>
    <row r="1">
      <c r="A1" s="13" t="inlineStr">
        <is>
          <t>Test Case ID</t>
        </is>
      </c>
      <c r="B1" s="18" t="n"/>
      <c r="C1" s="13" t="inlineStr">
        <is>
          <t>Descripción / Funcionalidad</t>
        </is>
      </c>
      <c r="D1" s="18" t="n"/>
      <c r="E1" s="14" t="n"/>
      <c r="G1" s="30" t="inlineStr">
        <is>
          <t>Registro de ejecución</t>
        </is>
      </c>
      <c r="H1" s="5" t="n"/>
      <c r="I1" s="5" t="n"/>
      <c r="J1" s="5" t="n"/>
      <c r="K1" s="5" t="n"/>
      <c r="L1" s="5" t="n"/>
    </row>
    <row r="2">
      <c r="A2" s="13" t="inlineStr">
        <is>
          <t>Creado por</t>
        </is>
      </c>
      <c r="B2" s="18" t="n"/>
      <c r="C2" s="13" t="inlineStr">
        <is>
          <t>Versión</t>
        </is>
      </c>
      <c r="D2" s="18" t="n"/>
      <c r="E2" s="14" t="n"/>
      <c r="G2" s="16" t="inlineStr">
        <is>
          <t>Ciclo</t>
        </is>
      </c>
      <c r="H2" s="16" t="inlineStr">
        <is>
          <t>Fecha</t>
        </is>
      </c>
      <c r="I2" s="16" t="inlineStr">
        <is>
          <t>Ejecutor</t>
        </is>
      </c>
      <c r="J2" s="16" t="inlineStr">
        <is>
          <t>Estado</t>
        </is>
      </c>
      <c r="K2" s="16" t="inlineStr">
        <is>
          <t>Resultado obtenido</t>
        </is>
      </c>
      <c r="L2" s="16" t="inlineStr">
        <is>
          <t>Defecto</t>
        </is>
      </c>
    </row>
    <row r="3" ht="30" customHeight="1">
      <c r="A3" s="31" t="inlineStr">
        <is>
          <t>Reporte de ejecución 2</t>
        </is>
      </c>
      <c r="B3" s="32" t="n"/>
      <c r="C3" s="13" t="inlineStr">
        <is>
          <t>Estado en la Entrega 2</t>
        </is>
      </c>
      <c r="D3" s="18" t="n"/>
      <c r="E3" s="14" t="n"/>
      <c r="G3" s="9" t="n"/>
      <c r="H3" s="15" t="n"/>
      <c r="I3" s="11" t="n"/>
      <c r="J3" s="11" t="n"/>
      <c r="K3" s="11" t="n"/>
      <c r="L3" s="11" t="n"/>
    </row>
    <row r="4" ht="30" customHeight="1">
      <c r="C4" s="13" t="inlineStr">
        <is>
          <t>Estado en la Entrega 1</t>
        </is>
      </c>
      <c r="D4" s="7" t="n"/>
      <c r="E4" s="14" t="n"/>
      <c r="G4" s="9" t="n"/>
      <c r="H4" s="15" t="n"/>
      <c r="I4" s="11" t="n"/>
      <c r="J4" s="11" t="n"/>
      <c r="K4" s="11" t="n"/>
      <c r="L4" s="11" t="n"/>
    </row>
    <row r="5" ht="30" customHeight="1">
      <c r="A5" s="13" t="inlineStr">
        <is>
          <t>Prioridad (Alta, Media, Baja)</t>
        </is>
      </c>
      <c r="B5" s="18" t="n"/>
      <c r="C5" s="13" t="inlineStr">
        <is>
          <t>Técnica de diseño</t>
        </is>
      </c>
      <c r="D5" s="7" t="n"/>
      <c r="E5" s="14" t="n"/>
      <c r="G5" s="9" t="n"/>
      <c r="H5" s="15" t="n"/>
      <c r="I5" s="11" t="n"/>
      <c r="J5" s="11" t="n"/>
      <c r="K5" s="11" t="n"/>
      <c r="L5" s="11" t="n"/>
    </row>
    <row r="6">
      <c r="G6" s="21" t="inlineStr">
        <is>
          <t>Ciclo 1 = Entrega 1 (V1). Ciclo 2 = Entrega 2 (V2): ejecución con script de navegador; las precondiciones preparadas por script se aclaran en el resultado obtenido.</t>
        </is>
      </c>
    </row>
    <row r="7">
      <c r="A7" s="13" t="inlineStr">
        <is>
          <t>#</t>
        </is>
      </c>
      <c r="B7" s="13" t="inlineStr">
        <is>
          <t>Pre-requisitos</t>
        </is>
      </c>
      <c r="C7" s="33" t="n"/>
      <c r="D7" s="13" t="inlineStr">
        <is>
          <t>Datos de prueba</t>
        </is>
      </c>
      <c r="E7" s="33" t="n"/>
    </row>
    <row r="8" ht="16.2" customHeight="1">
      <c r="A8" s="8" t="n">
        <v>1</v>
      </c>
      <c r="B8" s="7" t="inlineStr"/>
      <c r="C8" s="14" t="n"/>
      <c r="D8" s="18" t="inlineStr"/>
      <c r="E8" s="7" t="inlineStr"/>
    </row>
    <row r="9" ht="16.2" customHeight="1">
      <c r="A9" s="8" t="n">
        <v>2</v>
      </c>
      <c r="B9" s="7" t="inlineStr"/>
      <c r="C9" s="14" t="n"/>
      <c r="D9" s="18" t="inlineStr"/>
      <c r="E9" s="7" t="inlineStr"/>
    </row>
    <row r="10" ht="16.2" customHeight="1">
      <c r="A10" s="8" t="n">
        <v>3</v>
      </c>
      <c r="B10" s="7" t="inlineStr"/>
      <c r="C10" s="14" t="n"/>
      <c r="D10" s="18" t="inlineStr"/>
      <c r="E10" s="7" t="inlineStr"/>
    </row>
    <row r="12">
      <c r="A12" s="13" t="inlineStr">
        <is>
          <t>Título del CP</t>
        </is>
      </c>
      <c r="B12" s="34" t="n"/>
      <c r="C12" s="14" t="n"/>
      <c r="D12" s="14" t="n"/>
      <c r="E12" s="14" t="n"/>
    </row>
    <row r="13">
      <c r="A13" s="33" t="n"/>
      <c r="B13" s="14" t="n"/>
      <c r="C13" s="14" t="n"/>
      <c r="D13" s="14" t="n"/>
      <c r="E13" s="14" t="n"/>
    </row>
    <row r="15">
      <c r="A15" s="13" t="inlineStr">
        <is>
          <t>Historias de Usuario</t>
        </is>
      </c>
      <c r="B15" s="7" t="n"/>
      <c r="C15" s="13" t="inlineStr">
        <is>
          <t>Épica</t>
        </is>
      </c>
      <c r="D15" s="7" t="n"/>
      <c r="E15" s="14" t="n"/>
    </row>
    <row r="16" ht="28" customHeight="1">
      <c r="A16" s="13" t="inlineStr">
        <is>
          <t>Estado Automatización</t>
        </is>
      </c>
      <c r="B16" s="7" t="n"/>
      <c r="C16" s="13" t="inlineStr">
        <is>
          <t>Camino feliz</t>
        </is>
      </c>
      <c r="D16" s="7" t="n"/>
      <c r="E16" s="14" t="n"/>
    </row>
    <row r="18">
      <c r="A18" s="13" t="inlineStr">
        <is>
          <t>Pasos #</t>
        </is>
      </c>
      <c r="B18" s="13" t="inlineStr">
        <is>
          <t>Detalle de pasos</t>
        </is>
      </c>
      <c r="C18" s="33" t="n"/>
      <c r="D18" s="13" t="inlineStr">
        <is>
          <t>Resultado esperado</t>
        </is>
      </c>
      <c r="E18" s="33" t="n"/>
    </row>
    <row r="19" ht="16.2" customHeight="1">
      <c r="A19" s="8" t="n">
        <v>1</v>
      </c>
      <c r="B19" s="7" t="inlineStr"/>
      <c r="C19" s="14" t="n"/>
      <c r="D19" s="7" t="inlineStr"/>
      <c r="E19" s="14" t="n"/>
    </row>
    <row r="20" ht="16.2" customHeight="1">
      <c r="A20" s="8" t="n">
        <v>2</v>
      </c>
      <c r="B20" s="7" t="inlineStr"/>
      <c r="C20" s="14" t="n"/>
      <c r="D20" s="7" t="inlineStr"/>
      <c r="E20" s="14" t="n"/>
    </row>
    <row r="21" ht="16.2" customHeight="1">
      <c r="A21" s="8" t="n">
        <v>3</v>
      </c>
      <c r="B21" s="7" t="inlineStr"/>
      <c r="C21" s="14" t="n"/>
      <c r="D21" s="7" t="inlineStr"/>
      <c r="E21" s="14" t="n"/>
    </row>
    <row r="22" ht="24" customHeight="1">
      <c r="A22" s="21" t="inlineStr">
        <is>
          <t>El caso se aprueba solo si se cumple todo el resultado esperado del último paso (en negrita); si cualquier parte no se cumple, se registra como Fallido.</t>
        </is>
      </c>
    </row>
  </sheetData>
  <mergeCells count="26">
    <mergeCell ref="D20:E20"/>
    <mergeCell ref="B7:C7"/>
    <mergeCell ref="D1:E1"/>
    <mergeCell ref="D19:E19"/>
    <mergeCell ref="B12:E13"/>
    <mergeCell ref="B18:C18"/>
    <mergeCell ref="D21:E21"/>
    <mergeCell ref="B21:C21"/>
    <mergeCell ref="D2:E2"/>
    <mergeCell ref="A12:A13"/>
    <mergeCell ref="B8:C8"/>
    <mergeCell ref="A3:B3"/>
    <mergeCell ref="G1:L1"/>
    <mergeCell ref="D16:E16"/>
    <mergeCell ref="D7:E7"/>
    <mergeCell ref="B19:C19"/>
    <mergeCell ref="B10:C10"/>
    <mergeCell ref="D4:E4"/>
    <mergeCell ref="D18:E18"/>
    <mergeCell ref="B9:C9"/>
    <mergeCell ref="D3:E3"/>
    <mergeCell ref="A22:E22"/>
    <mergeCell ref="G6:L7"/>
    <mergeCell ref="D15:E15"/>
    <mergeCell ref="B20:C20"/>
    <mergeCell ref="D5:E5"/>
  </mergeCells>
  <dataValidations count="1">
    <dataValidation sqref="J3:J5" showDropDown="0" showInputMessage="0" showErrorMessage="0" allowBlank="1" type="list">
      <formula1>"Aprobado,Fallido,Bloqueado,No ejecutado,No aplica"</formula1>
    </dataValidation>
  </dataValidations>
  <pageMargins left="0.75" right="0.75" top="1" bottom="1" header="0.5" footer="0.5"/>
  <pageSetup orientation="landscape" fitToHeight="0" fitToWidth="1"/>
</worksheet>
</file>

<file path=xl/worksheets/sheet106.xml><?xml version="1.0" encoding="utf-8"?>
<worksheet xmlns="http://schemas.openxmlformats.org/spreadsheetml/2006/main">
  <sheetPr>
    <tabColor rgb="00C00000"/>
    <outlinePr summaryBelow="1" summaryRight="1"/>
    <pageSetUpPr/>
  </sheetPr>
  <dimension ref="A1:B22"/>
  <sheetViews>
    <sheetView workbookViewId="0">
      <selection activeCell="A1" sqref="A1"/>
    </sheetView>
  </sheetViews>
  <sheetFormatPr baseColWidth="8" defaultRowHeight="15"/>
  <cols>
    <col width="26" customWidth="1" min="1" max="1"/>
    <col width="90" customWidth="1" min="2" max="2"/>
  </cols>
  <sheetData>
    <row r="1">
      <c r="A1" s="37" t="inlineStr">
        <is>
          <t>Reporte de defecto</t>
        </is>
      </c>
    </row>
    <row r="2">
      <c r="A2" s="2" t="inlineStr">
        <is>
          <t>Copiar esta hoja por cada defecto, nombrarla con su ID y registrarlo también en «Registro de defectos». Reemplazar los textos grises.</t>
        </is>
      </c>
    </row>
    <row r="4" ht="16.2" customHeight="1">
      <c r="A4" s="13" t="inlineStr">
        <is>
          <t>ID</t>
        </is>
      </c>
      <c r="B4" s="38" t="inlineStr">
        <is>
          <t>DEF-nnn</t>
        </is>
      </c>
    </row>
    <row r="5" ht="16.2" customHeight="1">
      <c r="A5" s="13" t="inlineStr">
        <is>
          <t>Título</t>
        </is>
      </c>
      <c r="B5" s="38" t="inlineStr">
        <is>
          <t>Síntoma en una línea, específico y sin diagnóstico.</t>
        </is>
      </c>
    </row>
    <row r="6" ht="16.2" customHeight="1">
      <c r="A6" s="13" t="inlineStr">
        <is>
          <t>Caso de prueba</t>
        </is>
      </c>
      <c r="B6" s="38" t="inlineStr">
        <is>
          <t>CP que lo detectó o «Exploratoria».</t>
        </is>
      </c>
    </row>
    <row r="7" ht="16.2" customHeight="1">
      <c r="A7" s="13" t="inlineStr">
        <is>
          <t>Historia de usuario</t>
        </is>
      </c>
      <c r="B7" s="38" t="inlineStr">
        <is>
          <t>HU afectada y criterio de aceptación.</t>
        </is>
      </c>
    </row>
    <row r="8" ht="16.2" customHeight="1">
      <c r="A8" s="13" t="inlineStr">
        <is>
          <t>Severidad</t>
        </is>
      </c>
      <c r="B8" s="38" t="inlineStr">
        <is>
          <t>Bloqueante / Crítica / Mayor / Menor / Trivial (13.1).</t>
        </is>
      </c>
    </row>
    <row r="9" ht="16.2" customHeight="1">
      <c r="A9" s="13" t="inlineStr">
        <is>
          <t>Prioridad</t>
        </is>
      </c>
      <c r="B9" s="38" t="inlineStr">
        <is>
          <t>Alta / Media / Baja (13.1).</t>
        </is>
      </c>
    </row>
    <row r="10" ht="16.2" customHeight="1">
      <c r="A10" s="13" t="inlineStr">
        <is>
          <t>Estado</t>
        </is>
      </c>
      <c r="B10" s="38" t="inlineStr">
        <is>
          <t>Nuevo / Confirmado / No reproducible / En corrección / Corregido / Verificado / Diferido / Rechazado (13.2).</t>
        </is>
      </c>
    </row>
    <row r="11" ht="16.2" customHeight="1">
      <c r="A11" s="13" t="inlineStr">
        <is>
          <t>Versión / commit</t>
        </is>
      </c>
      <c r="B11" s="38" t="inlineStr">
        <is>
          <t>V2 - hash del commit.</t>
        </is>
      </c>
    </row>
    <row r="12" ht="16.2" customHeight="1">
      <c r="A12" s="13" t="inlineStr">
        <is>
          <t>Entorno</t>
        </is>
      </c>
      <c r="B12" s="38" t="inlineStr">
        <is>
          <t>Navegador y versión, resolución, URL de despliegue.</t>
        </is>
      </c>
    </row>
    <row r="13" ht="16.2" customHeight="1">
      <c r="A13" s="13" t="inlineStr">
        <is>
          <t>Precondiciones</t>
        </is>
      </c>
      <c r="B13" s="38" t="inlineStr">
        <is>
          <t>Estado necesario para reproducirlo.</t>
        </is>
      </c>
    </row>
    <row r="14" ht="16.2" customHeight="1">
      <c r="A14" s="13" t="inlineStr">
        <is>
          <t>Pasos para reproducir</t>
        </is>
      </c>
      <c r="B14" s="38" t="inlineStr">
        <is>
          <t>1) …
2) …
3) …</t>
        </is>
      </c>
    </row>
    <row r="15" ht="16.2" customHeight="1">
      <c r="A15" s="13" t="inlineStr">
        <is>
          <t>Resultado esperado</t>
        </is>
      </c>
      <c r="B15" s="38" t="inlineStr">
        <is>
          <t>Comportamiento especificado, con referencia al criterio de aceptación.</t>
        </is>
      </c>
    </row>
    <row r="16" ht="16.2" customHeight="1">
      <c r="A16" s="13" t="inlineStr">
        <is>
          <t>Resultado obtenido</t>
        </is>
      </c>
      <c r="B16" s="38" t="inlineStr">
        <is>
          <t>Comportamiento efectivamente observado.</t>
        </is>
      </c>
    </row>
    <row r="17" ht="16.2" customHeight="1">
      <c r="A17" s="13" t="inlineStr">
        <is>
          <t>Reproducibilidad</t>
        </is>
      </c>
      <c r="B17" s="38" t="inlineStr">
        <is>
          <t>Siempre / Intermitente (indicar frecuencia).</t>
        </is>
      </c>
    </row>
    <row r="18" ht="16.2" customHeight="1">
      <c r="A18" s="13" t="inlineStr">
        <is>
          <t>Evidencia</t>
        </is>
      </c>
      <c r="B18" s="38" t="inlineStr">
        <is>
          <t>Captura o grabación (Anexo B).</t>
        </is>
      </c>
    </row>
    <row r="19" ht="16.2" customHeight="1">
      <c r="A19" s="13" t="inlineStr">
        <is>
          <t>Reportado por</t>
        </is>
      </c>
      <c r="B19" s="38" t="inlineStr">
        <is>
          <t>Integrante que lo detectó.</t>
        </is>
      </c>
    </row>
    <row r="20" ht="16.2" customHeight="1">
      <c r="A20" s="13" t="inlineStr">
        <is>
          <t>Confirmado por</t>
        </is>
      </c>
      <c r="B20" s="38" t="inlineStr">
        <is>
          <t>Integrante distinto del que lo reportó.</t>
        </is>
      </c>
    </row>
    <row r="21" ht="16.2" customHeight="1">
      <c r="A21" s="13" t="inlineStr">
        <is>
          <t>Fecha</t>
        </is>
      </c>
      <c r="B21" s="38" t="inlineStr">
        <is>
          <t>dd/mm/aaaa</t>
        </is>
      </c>
    </row>
    <row r="22" ht="16.2" customHeight="1">
      <c r="A22" s="13" t="inlineStr">
        <is>
          <t>Confirmación (Entrega 2)</t>
        </is>
      </c>
      <c r="B22" s="38" t="inlineStr">
        <is>
          <t>Fecha, ejecutor, commit y resultado de la prueba de confirmación.</t>
        </is>
      </c>
    </row>
  </sheetData>
  <mergeCells count="2">
    <mergeCell ref="A2:B2"/>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2026-10-13T01:11:05Z</dcterms:created>
  <dcterms:modified xmlns:dcterms="http://purl.org/dc/terms/" xmlns:xsi="http://www.w3.org/2001/XMLSchema-instance" xsi:type="dcterms:W3CDTF">2026-10-13T01:11:06Z</dcterms:modified>
</cp:coreProperties>
</file>